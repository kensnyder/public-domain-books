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8"/>
  <workbookPr defaultThemeVersion="202300"/>
  <mc:AlternateContent xmlns:mc="http://schemas.openxmlformats.org/markup-compatibility/2006">
    <mc:Choice Requires="x15">
      <x15ac:absPath xmlns:x15ac="http://schemas.microsoft.com/office/spreadsheetml/2010/11/ac" url="/Users/ksnyder/Sites/public-domain-books/data/books/"/>
    </mc:Choice>
  </mc:AlternateContent>
  <xr:revisionPtr revIDLastSave="0" documentId="13_ncr:1_{F5FFEC02-DC5D-AA4A-B2DA-D973FC98D2AD}" xr6:coauthVersionLast="47" xr6:coauthVersionMax="47" xr10:uidLastSave="{00000000-0000-0000-0000-000000000000}"/>
  <bookViews>
    <workbookView xWindow="1840" yWindow="500" windowWidth="47220" windowHeight="25960" xr2:uid="{948352A4-4516-F447-8F65-D2A52CDFF619}"/>
  </bookViews>
  <sheets>
    <sheet name="Books" sheetId="1" r:id="rId1"/>
    <sheet name="Bible Abbr" sheetId="3" r:id="rId2"/>
    <sheet name="Traditions" sheetId="4" r:id="rId3"/>
    <sheet name="Works" sheetId="2" r:id="rId4"/>
  </sheets>
  <definedNames>
    <definedName name="_xlnm._FilterDatabase" localSheetId="0" hidden="1">Books!$A$1:$E$180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07" i="3" l="1"/>
  <c r="D184" i="3"/>
  <c r="F4" i="4"/>
  <c r="F5" i="4"/>
  <c r="F6" i="4"/>
  <c r="F7" i="4"/>
  <c r="F3" i="4"/>
  <c r="F2" i="4"/>
  <c r="F8" i="4"/>
  <c r="F9" i="4"/>
  <c r="F10" i="4"/>
  <c r="F11" i="4"/>
  <c r="F12" i="4"/>
  <c r="F13" i="4"/>
  <c r="F14" i="4"/>
  <c r="F15" i="4"/>
  <c r="F16" i="4"/>
  <c r="F17" i="4"/>
  <c r="F18" i="4"/>
  <c r="F19" i="4"/>
  <c r="F20" i="4"/>
  <c r="F21" i="4"/>
  <c r="F22" i="4"/>
  <c r="F23" i="4"/>
  <c r="E3" i="4"/>
  <c r="E4" i="4"/>
  <c r="E5" i="4"/>
  <c r="E6" i="4"/>
  <c r="E7" i="4"/>
  <c r="E8" i="4"/>
  <c r="E9" i="4"/>
  <c r="E10" i="4"/>
  <c r="E11" i="4"/>
  <c r="E12" i="4"/>
  <c r="E13" i="4"/>
  <c r="E14" i="4"/>
  <c r="E15" i="4"/>
  <c r="E16" i="4"/>
  <c r="E17" i="4"/>
  <c r="E18" i="4"/>
  <c r="E19" i="4"/>
  <c r="E20" i="4"/>
  <c r="E21" i="4"/>
  <c r="E22" i="4"/>
  <c r="E23" i="4"/>
  <c r="E2" i="4"/>
  <c r="H4" i="2"/>
  <c r="H3" i="2"/>
  <c r="H5" i="2"/>
  <c r="H6" i="2"/>
  <c r="H7" i="2"/>
  <c r="H8" i="2"/>
  <c r="H2" i="2"/>
  <c r="N63" i="1"/>
  <c r="N65" i="1"/>
  <c r="N79" i="1"/>
  <c r="N80" i="1"/>
  <c r="N149" i="1"/>
  <c r="N151" i="1"/>
  <c r="N152" i="1"/>
  <c r="N164" i="1"/>
  <c r="N172" i="1"/>
  <c r="N175" i="1"/>
  <c r="N176" i="1"/>
  <c r="M180" i="1"/>
  <c r="N180" i="1" s="1"/>
  <c r="M179" i="1"/>
  <c r="N179" i="1" s="1"/>
  <c r="M178" i="1"/>
  <c r="N178" i="1" s="1"/>
  <c r="M177" i="1"/>
  <c r="N177" i="1" s="1"/>
  <c r="M176" i="1"/>
  <c r="M175" i="1"/>
  <c r="M174" i="1"/>
  <c r="N174" i="1" s="1"/>
  <c r="M173" i="1"/>
  <c r="N173" i="1" s="1"/>
  <c r="M172" i="1"/>
  <c r="M171" i="1"/>
  <c r="N171" i="1" s="1"/>
  <c r="M170" i="1"/>
  <c r="N170" i="1" s="1"/>
  <c r="M169" i="1"/>
  <c r="N169" i="1" s="1"/>
  <c r="M168" i="1"/>
  <c r="N168" i="1" s="1"/>
  <c r="M167" i="1"/>
  <c r="N167" i="1" s="1"/>
  <c r="M166" i="1"/>
  <c r="N166" i="1" s="1"/>
  <c r="M165" i="1"/>
  <c r="N165" i="1" s="1"/>
  <c r="M164" i="1"/>
  <c r="M163" i="1"/>
  <c r="N163" i="1" s="1"/>
  <c r="M162" i="1"/>
  <c r="N162" i="1" s="1"/>
  <c r="M161" i="1"/>
  <c r="N161" i="1" s="1"/>
  <c r="M160" i="1"/>
  <c r="N160" i="1" s="1"/>
  <c r="M147" i="1"/>
  <c r="N147" i="1" s="1"/>
  <c r="M98" i="1"/>
  <c r="N98" i="1" s="1"/>
  <c r="M88" i="1"/>
  <c r="N88" i="1" s="1"/>
  <c r="M87" i="1"/>
  <c r="N87" i="1" s="1"/>
  <c r="M86" i="1"/>
  <c r="N86" i="1" s="1"/>
  <c r="M83" i="1"/>
  <c r="N83" i="1" s="1"/>
  <c r="M82" i="1"/>
  <c r="N82" i="1" s="1"/>
  <c r="M80" i="1"/>
  <c r="M79" i="1"/>
  <c r="M74" i="1"/>
  <c r="N74" i="1" s="1"/>
  <c r="M73" i="1"/>
  <c r="N73" i="1" s="1"/>
  <c r="M72" i="1"/>
  <c r="N72" i="1" s="1"/>
  <c r="M71" i="1"/>
  <c r="N71" i="1" s="1"/>
  <c r="M75" i="1"/>
  <c r="N75" i="1" s="1"/>
  <c r="M76" i="1"/>
  <c r="N76" i="1" s="1"/>
  <c r="M77" i="1"/>
  <c r="N77" i="1" s="1"/>
  <c r="M78" i="1"/>
  <c r="N78" i="1" s="1"/>
  <c r="M81" i="1"/>
  <c r="N81" i="1" s="1"/>
  <c r="M84" i="1"/>
  <c r="N84" i="1" s="1"/>
  <c r="M85" i="1"/>
  <c r="N85" i="1" s="1"/>
  <c r="M89" i="1"/>
  <c r="N89" i="1" s="1"/>
  <c r="M90" i="1"/>
  <c r="N90" i="1" s="1"/>
  <c r="M91" i="1"/>
  <c r="N91" i="1" s="1"/>
  <c r="M92" i="1"/>
  <c r="N92" i="1" s="1"/>
  <c r="M93" i="1"/>
  <c r="N93" i="1" s="1"/>
  <c r="M94" i="1"/>
  <c r="N94" i="1" s="1"/>
  <c r="M95" i="1"/>
  <c r="N95" i="1" s="1"/>
  <c r="M96" i="1"/>
  <c r="N96" i="1" s="1"/>
  <c r="M97" i="1"/>
  <c r="N97" i="1" s="1"/>
  <c r="M99" i="1"/>
  <c r="N99" i="1" s="1"/>
  <c r="M100" i="1"/>
  <c r="N100" i="1" s="1"/>
  <c r="M101" i="1"/>
  <c r="N101" i="1" s="1"/>
  <c r="M102" i="1"/>
  <c r="N102" i="1" s="1"/>
  <c r="M103" i="1"/>
  <c r="N103" i="1" s="1"/>
  <c r="M104" i="1"/>
  <c r="N104" i="1" s="1"/>
  <c r="M105" i="1"/>
  <c r="N105" i="1" s="1"/>
  <c r="M106" i="1"/>
  <c r="N106" i="1" s="1"/>
  <c r="M107" i="1"/>
  <c r="N107" i="1" s="1"/>
  <c r="M108" i="1"/>
  <c r="N108" i="1" s="1"/>
  <c r="M109" i="1"/>
  <c r="N109" i="1" s="1"/>
  <c r="M110" i="1"/>
  <c r="N110" i="1" s="1"/>
  <c r="M111" i="1"/>
  <c r="N111" i="1" s="1"/>
  <c r="M112" i="1"/>
  <c r="N112" i="1" s="1"/>
  <c r="M113" i="1"/>
  <c r="N113" i="1" s="1"/>
  <c r="M114" i="1"/>
  <c r="N114" i="1" s="1"/>
  <c r="M115" i="1"/>
  <c r="N115" i="1" s="1"/>
  <c r="M116" i="1"/>
  <c r="N116" i="1" s="1"/>
  <c r="M117" i="1"/>
  <c r="N117" i="1" s="1"/>
  <c r="M118" i="1"/>
  <c r="N118" i="1" s="1"/>
  <c r="M119" i="1"/>
  <c r="N119" i="1" s="1"/>
  <c r="M120" i="1"/>
  <c r="N120" i="1" s="1"/>
  <c r="M121" i="1"/>
  <c r="N121" i="1" s="1"/>
  <c r="M122" i="1"/>
  <c r="N122" i="1" s="1"/>
  <c r="M123" i="1"/>
  <c r="N123" i="1" s="1"/>
  <c r="M124" i="1"/>
  <c r="N124" i="1" s="1"/>
  <c r="M125" i="1"/>
  <c r="N125" i="1" s="1"/>
  <c r="M126" i="1"/>
  <c r="N126" i="1" s="1"/>
  <c r="M127" i="1"/>
  <c r="N127" i="1" s="1"/>
  <c r="M128" i="1"/>
  <c r="N128" i="1" s="1"/>
  <c r="M129" i="1"/>
  <c r="N129" i="1" s="1"/>
  <c r="M130" i="1"/>
  <c r="N130" i="1" s="1"/>
  <c r="M131" i="1"/>
  <c r="N131" i="1" s="1"/>
  <c r="M132" i="1"/>
  <c r="N132" i="1" s="1"/>
  <c r="M133" i="1"/>
  <c r="N133" i="1" s="1"/>
  <c r="M134" i="1"/>
  <c r="N134" i="1" s="1"/>
  <c r="M135" i="1"/>
  <c r="N135" i="1" s="1"/>
  <c r="M136" i="1"/>
  <c r="N136" i="1" s="1"/>
  <c r="M137" i="1"/>
  <c r="N137" i="1" s="1"/>
  <c r="M138" i="1"/>
  <c r="N138" i="1" s="1"/>
  <c r="M139" i="1"/>
  <c r="N139" i="1" s="1"/>
  <c r="M140" i="1"/>
  <c r="N140" i="1" s="1"/>
  <c r="M141" i="1"/>
  <c r="N141" i="1" s="1"/>
  <c r="M142" i="1"/>
  <c r="N142" i="1" s="1"/>
  <c r="M143" i="1"/>
  <c r="N143" i="1" s="1"/>
  <c r="M144" i="1"/>
  <c r="N144" i="1" s="1"/>
  <c r="M145" i="1"/>
  <c r="N145" i="1" s="1"/>
  <c r="M146" i="1"/>
  <c r="N146" i="1" s="1"/>
  <c r="M148" i="1"/>
  <c r="N148" i="1" s="1"/>
  <c r="M149" i="1"/>
  <c r="M150" i="1"/>
  <c r="N150" i="1" s="1"/>
  <c r="M151" i="1"/>
  <c r="M152" i="1"/>
  <c r="M153" i="1"/>
  <c r="N153" i="1" s="1"/>
  <c r="M154" i="1"/>
  <c r="N154" i="1" s="1"/>
  <c r="M155" i="1"/>
  <c r="N155" i="1" s="1"/>
  <c r="M156" i="1"/>
  <c r="N156" i="1" s="1"/>
  <c r="M157" i="1"/>
  <c r="N157" i="1" s="1"/>
  <c r="M158" i="1"/>
  <c r="N158" i="1" s="1"/>
  <c r="M159" i="1"/>
  <c r="N159" i="1" s="1"/>
  <c r="M70" i="1"/>
  <c r="N70" i="1" s="1"/>
  <c r="M63" i="1"/>
  <c r="M64" i="1"/>
  <c r="N64" i="1" s="1"/>
  <c r="M65" i="1"/>
  <c r="M66" i="1"/>
  <c r="N66" i="1" s="1"/>
  <c r="M67" i="1"/>
  <c r="N67" i="1" s="1"/>
  <c r="M68" i="1"/>
  <c r="M69" i="1"/>
  <c r="M3" i="1"/>
  <c r="N3" i="1" s="1"/>
  <c r="M4" i="1"/>
  <c r="N4" i="1" s="1"/>
  <c r="M5" i="1"/>
  <c r="N5" i="1" s="1"/>
  <c r="M6" i="1"/>
  <c r="N6" i="1" s="1"/>
  <c r="M7" i="1"/>
  <c r="M8" i="1"/>
  <c r="M9" i="1"/>
  <c r="M10" i="1"/>
  <c r="M11" i="1"/>
  <c r="M12" i="1"/>
  <c r="N12" i="1" s="1"/>
  <c r="M13" i="1"/>
  <c r="N13" i="1" s="1"/>
  <c r="M14" i="1"/>
  <c r="N14" i="1" s="1"/>
  <c r="M15" i="1"/>
  <c r="N15" i="1" s="1"/>
  <c r="M16" i="1"/>
  <c r="M17" i="1"/>
  <c r="M18" i="1"/>
  <c r="M19" i="1"/>
  <c r="M20" i="1"/>
  <c r="M21" i="1"/>
  <c r="M22" i="1"/>
  <c r="M23" i="1"/>
  <c r="M24" i="1"/>
  <c r="M25" i="1"/>
  <c r="M26" i="1"/>
  <c r="M27" i="1"/>
  <c r="M28" i="1"/>
  <c r="M29" i="1"/>
  <c r="M30" i="1"/>
  <c r="M31" i="1"/>
  <c r="M32" i="1"/>
  <c r="M33" i="1"/>
  <c r="M34" i="1"/>
  <c r="M35" i="1"/>
  <c r="M36" i="1"/>
  <c r="M37" i="1"/>
  <c r="M38" i="1"/>
  <c r="M39" i="1"/>
  <c r="M40" i="1"/>
  <c r="M41" i="1"/>
  <c r="N41" i="1" s="1"/>
  <c r="M42" i="1"/>
  <c r="N42" i="1" s="1"/>
  <c r="M43" i="1"/>
  <c r="N43" i="1" s="1"/>
  <c r="M44" i="1"/>
  <c r="N44" i="1" s="1"/>
  <c r="M45" i="1"/>
  <c r="N45" i="1" s="1"/>
  <c r="M46" i="1"/>
  <c r="N46" i="1" s="1"/>
  <c r="M47" i="1"/>
  <c r="N47" i="1" s="1"/>
  <c r="M48" i="1"/>
  <c r="N48" i="1" s="1"/>
  <c r="M49" i="1"/>
  <c r="N49" i="1" s="1"/>
  <c r="M50" i="1"/>
  <c r="N50" i="1" s="1"/>
  <c r="M51" i="1"/>
  <c r="N51" i="1" s="1"/>
  <c r="M52" i="1"/>
  <c r="N52" i="1" s="1"/>
  <c r="M53" i="1"/>
  <c r="N53" i="1" s="1"/>
  <c r="M54" i="1"/>
  <c r="N54" i="1" s="1"/>
  <c r="M55" i="1"/>
  <c r="N55" i="1" s="1"/>
  <c r="M56" i="1"/>
  <c r="N56" i="1" s="1"/>
  <c r="M57" i="1"/>
  <c r="N57" i="1" s="1"/>
  <c r="M58" i="1"/>
  <c r="N58" i="1" s="1"/>
  <c r="M59" i="1"/>
  <c r="N59" i="1" s="1"/>
  <c r="M60" i="1"/>
  <c r="N60" i="1" s="1"/>
  <c r="M61" i="1"/>
  <c r="N61" i="1" s="1"/>
  <c r="M62" i="1"/>
  <c r="N62" i="1" s="1"/>
  <c r="M2" i="1"/>
  <c r="N2" i="1" s="1"/>
  <c r="D580" i="3"/>
  <c r="D560" i="3"/>
  <c r="D540" i="3"/>
  <c r="D522" i="3"/>
  <c r="D504" i="3"/>
  <c r="D467" i="3"/>
  <c r="D452" i="3"/>
  <c r="D434" i="3"/>
  <c r="D416" i="3"/>
  <c r="D382" i="3"/>
  <c r="D369" i="3"/>
  <c r="D363" i="3"/>
  <c r="D351" i="3"/>
  <c r="D320" i="3"/>
  <c r="D309" i="3"/>
  <c r="D262" i="3"/>
  <c r="D256" i="3"/>
  <c r="D245" i="3"/>
  <c r="D195" i="3"/>
  <c r="D168" i="3"/>
  <c r="D152" i="3"/>
  <c r="D136" i="3"/>
  <c r="D120" i="3"/>
  <c r="D104" i="3"/>
  <c r="D88" i="3"/>
  <c r="C38" i="3"/>
  <c r="C39" i="3"/>
  <c r="C40" i="3"/>
  <c r="C41" i="3"/>
  <c r="C42" i="3"/>
  <c r="C43" i="3"/>
  <c r="C44" i="3"/>
  <c r="C45" i="3"/>
  <c r="C46" i="3"/>
  <c r="C47" i="3"/>
  <c r="C48" i="3"/>
  <c r="C49" i="3"/>
  <c r="C50" i="3"/>
  <c r="C51" i="3"/>
  <c r="C52" i="3"/>
  <c r="C53" i="3"/>
  <c r="C54" i="3"/>
  <c r="C55" i="3"/>
  <c r="C56" i="3"/>
  <c r="C57" i="3"/>
  <c r="C58" i="3"/>
  <c r="C59" i="3"/>
  <c r="C60" i="3"/>
  <c r="C61" i="3"/>
  <c r="C62" i="3"/>
  <c r="C63" i="3"/>
  <c r="C64" i="3"/>
  <c r="C65" i="3"/>
  <c r="C66" i="3"/>
  <c r="C67" i="3"/>
  <c r="C68" i="3"/>
  <c r="C69" i="3"/>
  <c r="C70" i="3"/>
  <c r="C71" i="3"/>
  <c r="C72" i="3"/>
  <c r="C73" i="3"/>
  <c r="C74" i="3"/>
  <c r="C75" i="3"/>
  <c r="C76" i="3"/>
  <c r="C77" i="3"/>
  <c r="C78" i="3"/>
  <c r="C79" i="3"/>
  <c r="C80" i="3"/>
  <c r="C81" i="3"/>
  <c r="C82" i="3"/>
  <c r="C83" i="3"/>
  <c r="C84" i="3"/>
  <c r="C85" i="3"/>
  <c r="C86" i="3"/>
  <c r="C87" i="3"/>
  <c r="C88" i="3"/>
  <c r="C89" i="3"/>
  <c r="C90" i="3"/>
  <c r="C91" i="3"/>
  <c r="C92" i="3"/>
  <c r="C93" i="3"/>
  <c r="C94" i="3"/>
  <c r="C95" i="3"/>
  <c r="C96" i="3"/>
  <c r="C97" i="3"/>
  <c r="C98" i="3"/>
  <c r="C99" i="3"/>
  <c r="C100" i="3"/>
  <c r="C101" i="3"/>
  <c r="C102" i="3"/>
  <c r="C103" i="3"/>
  <c r="C104" i="3"/>
  <c r="C105" i="3"/>
  <c r="C106" i="3"/>
  <c r="C107" i="3"/>
  <c r="C108" i="3"/>
  <c r="C109" i="3"/>
  <c r="C110" i="3"/>
  <c r="C111" i="3"/>
  <c r="C112" i="3"/>
  <c r="C113" i="3"/>
  <c r="C114" i="3"/>
  <c r="C115" i="3"/>
  <c r="C116" i="3"/>
  <c r="C117" i="3"/>
  <c r="C118" i="3"/>
  <c r="C119" i="3"/>
  <c r="C120" i="3"/>
  <c r="C121" i="3"/>
  <c r="C122" i="3"/>
  <c r="C123" i="3"/>
  <c r="C124" i="3"/>
  <c r="C125" i="3"/>
  <c r="C126" i="3"/>
  <c r="C127" i="3"/>
  <c r="C128" i="3"/>
  <c r="C129" i="3"/>
  <c r="C130" i="3"/>
  <c r="C131" i="3"/>
  <c r="C132" i="3"/>
  <c r="C133" i="3"/>
  <c r="C134" i="3"/>
  <c r="C135" i="3"/>
  <c r="C136" i="3"/>
  <c r="C137" i="3"/>
  <c r="C138" i="3"/>
  <c r="C139" i="3"/>
  <c r="C140" i="3"/>
  <c r="C141" i="3"/>
  <c r="C142" i="3"/>
  <c r="C143" i="3"/>
  <c r="C144" i="3"/>
  <c r="C145" i="3"/>
  <c r="C146" i="3"/>
  <c r="C147" i="3"/>
  <c r="C148" i="3"/>
  <c r="C149" i="3"/>
  <c r="C150" i="3"/>
  <c r="C151" i="3"/>
  <c r="C152" i="3"/>
  <c r="C153" i="3"/>
  <c r="C154" i="3"/>
  <c r="C155" i="3"/>
  <c r="C156" i="3"/>
  <c r="C157" i="3"/>
  <c r="C158" i="3"/>
  <c r="C159" i="3"/>
  <c r="C160" i="3"/>
  <c r="C161" i="3"/>
  <c r="C162" i="3"/>
  <c r="C163" i="3"/>
  <c r="C164" i="3"/>
  <c r="C165" i="3"/>
  <c r="C166" i="3"/>
  <c r="C167" i="3"/>
  <c r="C168" i="3"/>
  <c r="C169" i="3"/>
  <c r="C170" i="3"/>
  <c r="C171" i="3"/>
  <c r="C172" i="3"/>
  <c r="C173" i="3"/>
  <c r="C174" i="3"/>
  <c r="C175" i="3"/>
  <c r="C176" i="3"/>
  <c r="C177" i="3"/>
  <c r="C178" i="3"/>
  <c r="C179" i="3"/>
  <c r="C180" i="3"/>
  <c r="C181" i="3"/>
  <c r="C182" i="3"/>
  <c r="C183" i="3"/>
  <c r="C184" i="3"/>
  <c r="C185" i="3"/>
  <c r="C186" i="3"/>
  <c r="C187" i="3"/>
  <c r="C188" i="3"/>
  <c r="C189" i="3"/>
  <c r="C190" i="3"/>
  <c r="C191" i="3"/>
  <c r="C192" i="3"/>
  <c r="C193" i="3"/>
  <c r="C194" i="3"/>
  <c r="C195" i="3"/>
  <c r="C196" i="3"/>
  <c r="C197" i="3"/>
  <c r="C198" i="3"/>
  <c r="C199" i="3"/>
  <c r="C200" i="3"/>
  <c r="C201" i="3"/>
  <c r="C202" i="3"/>
  <c r="C203" i="3"/>
  <c r="C204" i="3"/>
  <c r="C205" i="3"/>
  <c r="C206" i="3"/>
  <c r="C207" i="3"/>
  <c r="C208" i="3"/>
  <c r="C209" i="3"/>
  <c r="C210" i="3"/>
  <c r="C211" i="3"/>
  <c r="C212" i="3"/>
  <c r="C213" i="3"/>
  <c r="C214" i="3"/>
  <c r="C215" i="3"/>
  <c r="C216" i="3"/>
  <c r="C217" i="3"/>
  <c r="C218" i="3"/>
  <c r="C219" i="3"/>
  <c r="C220" i="3"/>
  <c r="C221" i="3"/>
  <c r="C222" i="3"/>
  <c r="C223" i="3"/>
  <c r="C224" i="3"/>
  <c r="C225" i="3"/>
  <c r="C226" i="3"/>
  <c r="C227" i="3"/>
  <c r="C228" i="3"/>
  <c r="C229" i="3"/>
  <c r="C230" i="3"/>
  <c r="C231" i="3"/>
  <c r="C232" i="3"/>
  <c r="C233" i="3"/>
  <c r="C234" i="3"/>
  <c r="C235" i="3"/>
  <c r="C236" i="3"/>
  <c r="C237" i="3"/>
  <c r="C238" i="3"/>
  <c r="C239" i="3"/>
  <c r="C240" i="3"/>
  <c r="C241" i="3"/>
  <c r="C242" i="3"/>
  <c r="C243" i="3"/>
  <c r="C244" i="3"/>
  <c r="C245" i="3"/>
  <c r="C246" i="3"/>
  <c r="C247" i="3"/>
  <c r="C248" i="3"/>
  <c r="C249" i="3"/>
  <c r="C250" i="3"/>
  <c r="C251" i="3"/>
  <c r="C252" i="3"/>
  <c r="C253" i="3"/>
  <c r="C254" i="3"/>
  <c r="C255" i="3"/>
  <c r="C256" i="3"/>
  <c r="C257" i="3"/>
  <c r="C258" i="3"/>
  <c r="C259" i="3"/>
  <c r="C260" i="3"/>
  <c r="C261" i="3"/>
  <c r="C262" i="3"/>
  <c r="C263" i="3"/>
  <c r="C264" i="3"/>
  <c r="C265" i="3"/>
  <c r="C266" i="3"/>
  <c r="C267" i="3"/>
  <c r="C268" i="3"/>
  <c r="C269" i="3"/>
  <c r="C270" i="3"/>
  <c r="C271" i="3"/>
  <c r="C272" i="3"/>
  <c r="C273" i="3"/>
  <c r="C274" i="3"/>
  <c r="C275" i="3"/>
  <c r="C276" i="3"/>
  <c r="C277" i="3"/>
  <c r="C278" i="3"/>
  <c r="C279" i="3"/>
  <c r="C280" i="3"/>
  <c r="C281" i="3"/>
  <c r="C282" i="3"/>
  <c r="C283" i="3"/>
  <c r="C284" i="3"/>
  <c r="C285" i="3"/>
  <c r="C286" i="3"/>
  <c r="C287" i="3"/>
  <c r="C288" i="3"/>
  <c r="C289" i="3"/>
  <c r="C290" i="3"/>
  <c r="C291" i="3"/>
  <c r="C292" i="3"/>
  <c r="C293" i="3"/>
  <c r="C294" i="3"/>
  <c r="C295" i="3"/>
  <c r="C296" i="3"/>
  <c r="C297" i="3"/>
  <c r="C298" i="3"/>
  <c r="C299" i="3"/>
  <c r="C300" i="3"/>
  <c r="C301" i="3"/>
  <c r="C302" i="3"/>
  <c r="C303" i="3"/>
  <c r="C304" i="3"/>
  <c r="C305" i="3"/>
  <c r="C306" i="3"/>
  <c r="C307" i="3"/>
  <c r="C308" i="3"/>
  <c r="C309" i="3"/>
  <c r="C310" i="3"/>
  <c r="C311" i="3"/>
  <c r="C312" i="3"/>
  <c r="C313" i="3"/>
  <c r="C314" i="3"/>
  <c r="C315" i="3"/>
  <c r="C316" i="3"/>
  <c r="C317" i="3"/>
  <c r="C318" i="3"/>
  <c r="C319" i="3"/>
  <c r="C320" i="3"/>
  <c r="C321" i="3"/>
  <c r="C322" i="3"/>
  <c r="C323" i="3"/>
  <c r="C324" i="3"/>
  <c r="C325" i="3"/>
  <c r="C326" i="3"/>
  <c r="C327" i="3"/>
  <c r="C328" i="3"/>
  <c r="C329" i="3"/>
  <c r="C330" i="3"/>
  <c r="C331" i="3"/>
  <c r="C332" i="3"/>
  <c r="C333" i="3"/>
  <c r="C334" i="3"/>
  <c r="C335" i="3"/>
  <c r="C336" i="3"/>
  <c r="C337" i="3"/>
  <c r="C338" i="3"/>
  <c r="C339" i="3"/>
  <c r="C340" i="3"/>
  <c r="C341" i="3"/>
  <c r="C342" i="3"/>
  <c r="C343" i="3"/>
  <c r="C344" i="3"/>
  <c r="C345" i="3"/>
  <c r="C346" i="3"/>
  <c r="C347" i="3"/>
  <c r="C348" i="3"/>
  <c r="C349" i="3"/>
  <c r="C350" i="3"/>
  <c r="C351" i="3"/>
  <c r="C352" i="3"/>
  <c r="C353" i="3"/>
  <c r="C354" i="3"/>
  <c r="C355" i="3"/>
  <c r="C356" i="3"/>
  <c r="C357" i="3"/>
  <c r="C358" i="3"/>
  <c r="C359" i="3"/>
  <c r="C360" i="3"/>
  <c r="C361" i="3"/>
  <c r="C362" i="3"/>
  <c r="C363" i="3"/>
  <c r="C364" i="3"/>
  <c r="C365" i="3"/>
  <c r="C366" i="3"/>
  <c r="C367" i="3"/>
  <c r="C368" i="3"/>
  <c r="C369" i="3"/>
  <c r="C370" i="3"/>
  <c r="C371" i="3"/>
  <c r="C372" i="3"/>
  <c r="C373" i="3"/>
  <c r="C374" i="3"/>
  <c r="C375" i="3"/>
  <c r="C376" i="3"/>
  <c r="C377" i="3"/>
  <c r="C378" i="3"/>
  <c r="C379" i="3"/>
  <c r="C380" i="3"/>
  <c r="C381" i="3"/>
  <c r="C382" i="3"/>
  <c r="C383" i="3"/>
  <c r="C384" i="3"/>
  <c r="C385" i="3"/>
  <c r="C386" i="3"/>
  <c r="C387" i="3"/>
  <c r="C388" i="3"/>
  <c r="C389" i="3"/>
  <c r="C390" i="3"/>
  <c r="C391" i="3"/>
  <c r="C392" i="3"/>
  <c r="C393" i="3"/>
  <c r="C394" i="3"/>
  <c r="C395" i="3"/>
  <c r="C396" i="3"/>
  <c r="C397" i="3"/>
  <c r="C398" i="3"/>
  <c r="C399" i="3"/>
  <c r="C400" i="3"/>
  <c r="C401" i="3"/>
  <c r="C402" i="3"/>
  <c r="C403" i="3"/>
  <c r="C404" i="3"/>
  <c r="C405" i="3"/>
  <c r="C406" i="3"/>
  <c r="C407" i="3"/>
  <c r="C408" i="3"/>
  <c r="C409" i="3"/>
  <c r="C410" i="3"/>
  <c r="C411" i="3"/>
  <c r="C412" i="3"/>
  <c r="C413" i="3"/>
  <c r="C414" i="3"/>
  <c r="C415" i="3"/>
  <c r="C416" i="3"/>
  <c r="C417" i="3"/>
  <c r="C418" i="3"/>
  <c r="C419" i="3"/>
  <c r="C420" i="3"/>
  <c r="C421" i="3"/>
  <c r="C422" i="3"/>
  <c r="C423" i="3"/>
  <c r="C424" i="3"/>
  <c r="C425" i="3"/>
  <c r="C426" i="3"/>
  <c r="C427" i="3"/>
  <c r="C428" i="3"/>
  <c r="C429" i="3"/>
  <c r="C430" i="3"/>
  <c r="C431" i="3"/>
  <c r="C432" i="3"/>
  <c r="C433" i="3"/>
  <c r="C434" i="3"/>
  <c r="C435" i="3"/>
  <c r="C436" i="3"/>
  <c r="C437" i="3"/>
  <c r="C438" i="3"/>
  <c r="C439" i="3"/>
  <c r="C440" i="3"/>
  <c r="C441" i="3"/>
  <c r="C442" i="3"/>
  <c r="C443" i="3"/>
  <c r="C444" i="3"/>
  <c r="C445" i="3"/>
  <c r="C446" i="3"/>
  <c r="C447" i="3"/>
  <c r="C448" i="3"/>
  <c r="C449" i="3"/>
  <c r="C450" i="3"/>
  <c r="C451" i="3"/>
  <c r="C452" i="3"/>
  <c r="C453" i="3"/>
  <c r="C454" i="3"/>
  <c r="C455" i="3"/>
  <c r="C456" i="3"/>
  <c r="C457" i="3"/>
  <c r="C458" i="3"/>
  <c r="C459" i="3"/>
  <c r="C460" i="3"/>
  <c r="C461" i="3"/>
  <c r="C462" i="3"/>
  <c r="C463" i="3"/>
  <c r="C464" i="3"/>
  <c r="C465" i="3"/>
  <c r="C466" i="3"/>
  <c r="C467" i="3"/>
  <c r="C468" i="3"/>
  <c r="C469" i="3"/>
  <c r="C470" i="3"/>
  <c r="C471" i="3"/>
  <c r="C472" i="3"/>
  <c r="C473" i="3"/>
  <c r="C474" i="3"/>
  <c r="C475" i="3"/>
  <c r="C476" i="3"/>
  <c r="C477" i="3"/>
  <c r="C478" i="3"/>
  <c r="C479" i="3"/>
  <c r="C480" i="3"/>
  <c r="C481" i="3"/>
  <c r="C482" i="3"/>
  <c r="C483" i="3"/>
  <c r="C484" i="3"/>
  <c r="C485" i="3"/>
  <c r="C486" i="3"/>
  <c r="C487" i="3"/>
  <c r="C488" i="3"/>
  <c r="C489" i="3"/>
  <c r="C490" i="3"/>
  <c r="C491" i="3"/>
  <c r="C492" i="3"/>
  <c r="C493" i="3"/>
  <c r="C494" i="3"/>
  <c r="C495" i="3"/>
  <c r="C496" i="3"/>
  <c r="C497" i="3"/>
  <c r="C498" i="3"/>
  <c r="C499" i="3"/>
  <c r="C500" i="3"/>
  <c r="C501" i="3"/>
  <c r="C502" i="3"/>
  <c r="C503" i="3"/>
  <c r="C504" i="3"/>
  <c r="C505" i="3"/>
  <c r="C506" i="3"/>
  <c r="C507" i="3"/>
  <c r="C508" i="3"/>
  <c r="C509" i="3"/>
  <c r="C510" i="3"/>
  <c r="C511" i="3"/>
  <c r="C512" i="3"/>
  <c r="C513" i="3"/>
  <c r="C514" i="3"/>
  <c r="C515" i="3"/>
  <c r="C516" i="3"/>
  <c r="C517" i="3"/>
  <c r="C518" i="3"/>
  <c r="C519" i="3"/>
  <c r="C520" i="3"/>
  <c r="C521" i="3"/>
  <c r="C522" i="3"/>
  <c r="C523" i="3"/>
  <c r="C524" i="3"/>
  <c r="C525" i="3"/>
  <c r="C526" i="3"/>
  <c r="C527" i="3"/>
  <c r="C528" i="3"/>
  <c r="C529" i="3"/>
  <c r="C530" i="3"/>
  <c r="C531" i="3"/>
  <c r="C532" i="3"/>
  <c r="C533" i="3"/>
  <c r="C534" i="3"/>
  <c r="C535" i="3"/>
  <c r="C536" i="3"/>
  <c r="C537" i="3"/>
  <c r="C538" i="3"/>
  <c r="C539" i="3"/>
  <c r="C540" i="3"/>
  <c r="C541" i="3"/>
  <c r="C542" i="3"/>
  <c r="C543" i="3"/>
  <c r="C544" i="3"/>
  <c r="C545" i="3"/>
  <c r="C546" i="3"/>
  <c r="C547" i="3"/>
  <c r="C548" i="3"/>
  <c r="C549" i="3"/>
  <c r="C550" i="3"/>
  <c r="C551" i="3"/>
  <c r="C552" i="3"/>
  <c r="C553" i="3"/>
  <c r="C554" i="3"/>
  <c r="C555" i="3"/>
  <c r="C556" i="3"/>
  <c r="C557" i="3"/>
  <c r="C558" i="3"/>
  <c r="C559" i="3"/>
  <c r="C560" i="3"/>
  <c r="C561" i="3"/>
  <c r="C562" i="3"/>
  <c r="C563" i="3"/>
  <c r="C564" i="3"/>
  <c r="C565" i="3"/>
  <c r="C566" i="3"/>
  <c r="C567" i="3"/>
  <c r="C568" i="3"/>
  <c r="C569" i="3"/>
  <c r="C570" i="3"/>
  <c r="C571" i="3"/>
  <c r="C572" i="3"/>
  <c r="C573" i="3"/>
  <c r="C574" i="3"/>
  <c r="C575" i="3"/>
  <c r="C576" i="3"/>
  <c r="C577" i="3"/>
  <c r="C578" i="3"/>
  <c r="C579" i="3"/>
  <c r="C580" i="3"/>
  <c r="C581" i="3"/>
  <c r="C582" i="3"/>
  <c r="C583" i="3"/>
  <c r="C584" i="3"/>
  <c r="C585" i="3"/>
  <c r="C586" i="3"/>
  <c r="C587" i="3"/>
  <c r="C588" i="3"/>
  <c r="C589" i="3"/>
  <c r="C590" i="3"/>
  <c r="C591" i="3"/>
  <c r="C592" i="3"/>
  <c r="C593" i="3"/>
  <c r="C594" i="3"/>
  <c r="C595" i="3"/>
  <c r="C596" i="3"/>
  <c r="C597" i="3"/>
  <c r="C598" i="3"/>
  <c r="C599" i="3"/>
  <c r="C600" i="3"/>
  <c r="C601" i="3"/>
  <c r="C602" i="3"/>
  <c r="C603" i="3"/>
  <c r="C604" i="3"/>
  <c r="C605" i="3"/>
  <c r="C606" i="3"/>
  <c r="C607" i="3"/>
  <c r="C608" i="3"/>
  <c r="C37" i="3"/>
  <c r="I3" i="2"/>
  <c r="I4" i="2"/>
  <c r="I6" i="2"/>
  <c r="I7" i="2"/>
  <c r="I8" i="2"/>
  <c r="I2" i="2"/>
  <c r="D5" i="2"/>
  <c r="I5" i="2" s="1"/>
  <c r="B69" i="1"/>
  <c r="B68" i="1"/>
  <c r="N68" i="1" s="1"/>
  <c r="B8" i="1"/>
  <c r="N8" i="1" s="1"/>
  <c r="B9" i="1"/>
  <c r="N9" i="1" s="1"/>
  <c r="B10" i="1"/>
  <c r="N10" i="1" s="1"/>
  <c r="B11" i="1"/>
  <c r="N11" i="1" s="1"/>
  <c r="B16" i="1"/>
  <c r="B17" i="1"/>
  <c r="B18" i="1"/>
  <c r="B19" i="1"/>
  <c r="N19" i="1" s="1"/>
  <c r="B20" i="1"/>
  <c r="B21" i="1"/>
  <c r="N21" i="1" s="1"/>
  <c r="B22" i="1"/>
  <c r="N22" i="1" s="1"/>
  <c r="B23" i="1"/>
  <c r="N23" i="1" s="1"/>
  <c r="B24" i="1"/>
  <c r="N24" i="1" s="1"/>
  <c r="B25" i="1"/>
  <c r="N25" i="1" s="1"/>
  <c r="B26" i="1"/>
  <c r="N26" i="1" s="1"/>
  <c r="B27" i="1"/>
  <c r="N27" i="1" s="1"/>
  <c r="B28" i="1"/>
  <c r="B29" i="1"/>
  <c r="B30" i="1"/>
  <c r="B31" i="1"/>
  <c r="N31" i="1" s="1"/>
  <c r="B32" i="1"/>
  <c r="B33" i="1"/>
  <c r="N33" i="1" s="1"/>
  <c r="B34" i="1"/>
  <c r="N34" i="1" s="1"/>
  <c r="B35" i="1"/>
  <c r="N35" i="1" s="1"/>
  <c r="B36" i="1"/>
  <c r="N36" i="1" s="1"/>
  <c r="B37" i="1"/>
  <c r="N37" i="1" s="1"/>
  <c r="B38" i="1"/>
  <c r="N38" i="1" s="1"/>
  <c r="B39" i="1"/>
  <c r="N39" i="1" s="1"/>
  <c r="B40" i="1"/>
  <c r="B7" i="1"/>
  <c r="N7" i="1" s="1"/>
  <c r="N40" i="1" l="1"/>
  <c r="N28" i="1"/>
  <c r="N16" i="1"/>
  <c r="N69" i="1"/>
  <c r="N30" i="1"/>
  <c r="N18" i="1"/>
  <c r="N32" i="1"/>
  <c r="N20" i="1"/>
  <c r="N29" i="1"/>
  <c r="N17" i="1"/>
</calcChain>
</file>

<file path=xl/sharedStrings.xml><?xml version="1.0" encoding="utf-8"?>
<sst xmlns="http://schemas.openxmlformats.org/spreadsheetml/2006/main" count="2249" uniqueCount="1180">
  <si>
    <t>Gen</t>
  </si>
  <si>
    <t>Genesis</t>
  </si>
  <si>
    <t>GEN</t>
  </si>
  <si>
    <t>Exod</t>
  </si>
  <si>
    <t>Exodus</t>
  </si>
  <si>
    <t>EXO</t>
  </si>
  <si>
    <t>Lev</t>
  </si>
  <si>
    <t>Leviticus</t>
  </si>
  <si>
    <t>LEV</t>
  </si>
  <si>
    <t>Num</t>
  </si>
  <si>
    <t>Numbers</t>
  </si>
  <si>
    <t>NUM</t>
  </si>
  <si>
    <t>Deut</t>
  </si>
  <si>
    <t>Deuteronomy</t>
  </si>
  <si>
    <t>DEU</t>
  </si>
  <si>
    <t>Josh</t>
  </si>
  <si>
    <t>Joshua</t>
  </si>
  <si>
    <t>JOS</t>
  </si>
  <si>
    <t>Judg</t>
  </si>
  <si>
    <t>Judges</t>
  </si>
  <si>
    <t>JDG</t>
  </si>
  <si>
    <t>Ruth</t>
  </si>
  <si>
    <t>RUT</t>
  </si>
  <si>
    <t>1Sam</t>
  </si>
  <si>
    <t>1 Samuel</t>
  </si>
  <si>
    <t>1SA</t>
  </si>
  <si>
    <t>2Sam</t>
  </si>
  <si>
    <t>2 Samuel</t>
  </si>
  <si>
    <t>2SA</t>
  </si>
  <si>
    <t>1Kgs</t>
  </si>
  <si>
    <t>1 Kings</t>
  </si>
  <si>
    <t>1KI</t>
  </si>
  <si>
    <t>2Kgs</t>
  </si>
  <si>
    <t>2 Kings</t>
  </si>
  <si>
    <t>2KI</t>
  </si>
  <si>
    <t>1Chr</t>
  </si>
  <si>
    <t>1 Chronicles</t>
  </si>
  <si>
    <t>1CH</t>
  </si>
  <si>
    <t>2Chr</t>
  </si>
  <si>
    <t>2 Chronicles</t>
  </si>
  <si>
    <t>2CH</t>
  </si>
  <si>
    <t>Ezra</t>
  </si>
  <si>
    <t>EZR</t>
  </si>
  <si>
    <t>Neh</t>
  </si>
  <si>
    <t>Nehemiah</t>
  </si>
  <si>
    <t>NEH</t>
  </si>
  <si>
    <t>Esth</t>
  </si>
  <si>
    <t>EST</t>
  </si>
  <si>
    <t>Job</t>
  </si>
  <si>
    <t>JOB</t>
  </si>
  <si>
    <t>Ps</t>
  </si>
  <si>
    <t>Psalms</t>
  </si>
  <si>
    <t>PSA</t>
  </si>
  <si>
    <t>Prov</t>
  </si>
  <si>
    <t>Proverbs</t>
  </si>
  <si>
    <t>PRO</t>
  </si>
  <si>
    <t>Eccl</t>
  </si>
  <si>
    <t>Ecclesiastes</t>
  </si>
  <si>
    <t>ECC</t>
  </si>
  <si>
    <t>Song</t>
  </si>
  <si>
    <t>Song of Solomon</t>
  </si>
  <si>
    <t>SNG</t>
  </si>
  <si>
    <t>Isa</t>
  </si>
  <si>
    <t>Isaiah</t>
  </si>
  <si>
    <t>ISA</t>
  </si>
  <si>
    <t>Jer</t>
  </si>
  <si>
    <t>Jeremiah</t>
  </si>
  <si>
    <t>JER</t>
  </si>
  <si>
    <t>Lam</t>
  </si>
  <si>
    <t>Lamentations</t>
  </si>
  <si>
    <t>LAM</t>
  </si>
  <si>
    <t>Ezek</t>
  </si>
  <si>
    <t>Ezekiel</t>
  </si>
  <si>
    <t>EZK</t>
  </si>
  <si>
    <t>Dan</t>
  </si>
  <si>
    <t>Daniel</t>
  </si>
  <si>
    <t>DAN</t>
  </si>
  <si>
    <t>Hos</t>
  </si>
  <si>
    <t>Hosea</t>
  </si>
  <si>
    <t>HOS</t>
  </si>
  <si>
    <t>Joel</t>
  </si>
  <si>
    <t>JOL</t>
  </si>
  <si>
    <t>Amos</t>
  </si>
  <si>
    <t>AMO</t>
  </si>
  <si>
    <t>Obad</t>
  </si>
  <si>
    <t>Obadiah</t>
  </si>
  <si>
    <t>OBA</t>
  </si>
  <si>
    <t>Jonah</t>
  </si>
  <si>
    <t>JON</t>
  </si>
  <si>
    <t>Mic</t>
  </si>
  <si>
    <t>Micah</t>
  </si>
  <si>
    <t>MIC</t>
  </si>
  <si>
    <t>Nah</t>
  </si>
  <si>
    <t>Nahum</t>
  </si>
  <si>
    <t>NAM</t>
  </si>
  <si>
    <t>Hab</t>
  </si>
  <si>
    <t>Habakkuk</t>
  </si>
  <si>
    <t>HAB</t>
  </si>
  <si>
    <t>Zeph</t>
  </si>
  <si>
    <t>Zephaniah</t>
  </si>
  <si>
    <t>ZEP</t>
  </si>
  <si>
    <t>Hag</t>
  </si>
  <si>
    <t>Haggai</t>
  </si>
  <si>
    <t>HAG</t>
  </si>
  <si>
    <t>Zech</t>
  </si>
  <si>
    <t>Zechariah</t>
  </si>
  <si>
    <t>ZEC</t>
  </si>
  <si>
    <t>Mal</t>
  </si>
  <si>
    <t>Malachi</t>
  </si>
  <si>
    <t>MAL</t>
  </si>
  <si>
    <t>Matt</t>
  </si>
  <si>
    <t>Matthew</t>
  </si>
  <si>
    <t>MAT</t>
  </si>
  <si>
    <t>Mark</t>
  </si>
  <si>
    <t>MRK</t>
  </si>
  <si>
    <t>Luke</t>
  </si>
  <si>
    <t>LUK</t>
  </si>
  <si>
    <t>John</t>
  </si>
  <si>
    <t>JHN</t>
  </si>
  <si>
    <t>Acts</t>
  </si>
  <si>
    <t>ACT</t>
  </si>
  <si>
    <t>Rom</t>
  </si>
  <si>
    <t>Romans</t>
  </si>
  <si>
    <t>ROM</t>
  </si>
  <si>
    <t>1Cor</t>
  </si>
  <si>
    <t>1 Corinthians</t>
  </si>
  <si>
    <t>1CO</t>
  </si>
  <si>
    <t>2Cor</t>
  </si>
  <si>
    <t>2 Corinthians</t>
  </si>
  <si>
    <t>2CO</t>
  </si>
  <si>
    <t>Gal</t>
  </si>
  <si>
    <t>Galatians</t>
  </si>
  <si>
    <t>GAL</t>
  </si>
  <si>
    <t>Eph</t>
  </si>
  <si>
    <t>Ephesians</t>
  </si>
  <si>
    <t>EPH</t>
  </si>
  <si>
    <t>Phil</t>
  </si>
  <si>
    <t>Philippians</t>
  </si>
  <si>
    <t>PHP</t>
  </si>
  <si>
    <t>Col</t>
  </si>
  <si>
    <t>Colossians</t>
  </si>
  <si>
    <t>COL</t>
  </si>
  <si>
    <t>1Thess</t>
  </si>
  <si>
    <t>1 Thessalonians</t>
  </si>
  <si>
    <t>1TH</t>
  </si>
  <si>
    <t>2Thess</t>
  </si>
  <si>
    <t>2 Thessalonians</t>
  </si>
  <si>
    <t>2TH</t>
  </si>
  <si>
    <t>1Tim</t>
  </si>
  <si>
    <t>1 Timothy</t>
  </si>
  <si>
    <t>1TI</t>
  </si>
  <si>
    <t>2Tim</t>
  </si>
  <si>
    <t>2 Timothy</t>
  </si>
  <si>
    <t>2TI</t>
  </si>
  <si>
    <t>Titus</t>
  </si>
  <si>
    <t>TIT</t>
  </si>
  <si>
    <t>Phlm</t>
  </si>
  <si>
    <t>Philemon</t>
  </si>
  <si>
    <t>PHM</t>
  </si>
  <si>
    <t>Heb</t>
  </si>
  <si>
    <t>Hebrews</t>
  </si>
  <si>
    <t>HEB</t>
  </si>
  <si>
    <t>Jas</t>
  </si>
  <si>
    <t>James</t>
  </si>
  <si>
    <t>JAS</t>
  </si>
  <si>
    <t>1Pet</t>
  </si>
  <si>
    <t>1 Peter</t>
  </si>
  <si>
    <t>1PE</t>
  </si>
  <si>
    <t>2Pet</t>
  </si>
  <si>
    <t>2 Peter</t>
  </si>
  <si>
    <t>2PE</t>
  </si>
  <si>
    <t>1John</t>
  </si>
  <si>
    <t>1 John</t>
  </si>
  <si>
    <t>1JN</t>
  </si>
  <si>
    <t>2John</t>
  </si>
  <si>
    <t>2 John</t>
  </si>
  <si>
    <t>2JN</t>
  </si>
  <si>
    <t>3John</t>
  </si>
  <si>
    <t>3 John</t>
  </si>
  <si>
    <t>3JN</t>
  </si>
  <si>
    <t>Jude</t>
  </si>
  <si>
    <t>JUD</t>
  </si>
  <si>
    <t>Rev</t>
  </si>
  <si>
    <t>Revelation</t>
  </si>
  <si>
    <t>REV</t>
  </si>
  <si>
    <t>Tob</t>
  </si>
  <si>
    <t>Tobit</t>
  </si>
  <si>
    <t>TOB</t>
  </si>
  <si>
    <t>Jdt</t>
  </si>
  <si>
    <t>Judith</t>
  </si>
  <si>
    <t>JDT</t>
  </si>
  <si>
    <t>EsthGr</t>
  </si>
  <si>
    <t>ESG</t>
  </si>
  <si>
    <t>AddEsth</t>
  </si>
  <si>
    <t>Additions to Esther</t>
  </si>
  <si>
    <t>ADE</t>
  </si>
  <si>
    <t>Wis</t>
  </si>
  <si>
    <t>Wisdom</t>
  </si>
  <si>
    <t>WIS</t>
  </si>
  <si>
    <t>SirP</t>
  </si>
  <si>
    <t>Sir</t>
  </si>
  <si>
    <t>Sirach</t>
  </si>
  <si>
    <t>SIR</t>
  </si>
  <si>
    <t>Bar</t>
  </si>
  <si>
    <t>Baruch</t>
  </si>
  <si>
    <t>BAR</t>
  </si>
  <si>
    <t>EpJer</t>
  </si>
  <si>
    <t>LJE</t>
  </si>
  <si>
    <t>DanGr</t>
  </si>
  <si>
    <t>DAG</t>
  </si>
  <si>
    <t>AddDan</t>
  </si>
  <si>
    <t>Additions to Daniel</t>
  </si>
  <si>
    <t>PrAzar</t>
  </si>
  <si>
    <t>Prayer of Azariah</t>
  </si>
  <si>
    <t>S3Y</t>
  </si>
  <si>
    <t>Sus</t>
  </si>
  <si>
    <t>Susanna</t>
  </si>
  <si>
    <t>SUS</t>
  </si>
  <si>
    <t>Bel</t>
  </si>
  <si>
    <t>Bel and the Dragon</t>
  </si>
  <si>
    <t>BEL</t>
  </si>
  <si>
    <t>1Macc</t>
  </si>
  <si>
    <t>1 Maccabees</t>
  </si>
  <si>
    <t>1MA</t>
  </si>
  <si>
    <t>2Macc</t>
  </si>
  <si>
    <t>2 Maccabees</t>
  </si>
  <si>
    <t>2MA</t>
  </si>
  <si>
    <t>3Macc</t>
  </si>
  <si>
    <t>3 Maccabees</t>
  </si>
  <si>
    <t>3MA</t>
  </si>
  <si>
    <t>4Macc</t>
  </si>
  <si>
    <t>4 Maccabees</t>
  </si>
  <si>
    <t>4MA</t>
  </si>
  <si>
    <t>PrMan</t>
  </si>
  <si>
    <t>Prayer of Manasseh</t>
  </si>
  <si>
    <t>MAN</t>
  </si>
  <si>
    <t>1Esd</t>
  </si>
  <si>
    <t>1 Esdras</t>
  </si>
  <si>
    <t>1ES</t>
  </si>
  <si>
    <t>2Esd</t>
  </si>
  <si>
    <t>2 Esdras</t>
  </si>
  <si>
    <t>2ES</t>
  </si>
  <si>
    <t>AddPs</t>
  </si>
  <si>
    <t>PS2</t>
  </si>
  <si>
    <t>Odes</t>
  </si>
  <si>
    <t>ODA</t>
  </si>
  <si>
    <t>PssSol</t>
  </si>
  <si>
    <t>Psalms of Solomon</t>
  </si>
  <si>
    <t>PSS</t>
  </si>
  <si>
    <t>JoshA</t>
  </si>
  <si>
    <t>JSA</t>
  </si>
  <si>
    <t>JudgB</t>
  </si>
  <si>
    <t>JDB</t>
  </si>
  <si>
    <t>TobS</t>
  </si>
  <si>
    <t>TBS</t>
  </si>
  <si>
    <t>SusTh</t>
  </si>
  <si>
    <t>SST</t>
  </si>
  <si>
    <t>DanTh</t>
  </si>
  <si>
    <t>DNT</t>
  </si>
  <si>
    <t>BelTh</t>
  </si>
  <si>
    <t>BLT</t>
  </si>
  <si>
    <t>EpLao</t>
  </si>
  <si>
    <t>Epistle to the Laodiceans</t>
  </si>
  <si>
    <t>LAO</t>
  </si>
  <si>
    <t>5Ezra</t>
  </si>
  <si>
    <t>5 Ezra</t>
  </si>
  <si>
    <t>5EZ</t>
  </si>
  <si>
    <t>4Ezra</t>
  </si>
  <si>
    <t>4 Ezra</t>
  </si>
  <si>
    <t>EZA</t>
  </si>
  <si>
    <t>6Ezra</t>
  </si>
  <si>
    <t>6 Ezra</t>
  </si>
  <si>
    <t>6EZ</t>
  </si>
  <si>
    <t>PrSol</t>
  </si>
  <si>
    <t>PSO</t>
  </si>
  <si>
    <t>PrJer</t>
  </si>
  <si>
    <t>PJE</t>
  </si>
  <si>
    <t>1En</t>
  </si>
  <si>
    <t>1 Enoch</t>
  </si>
  <si>
    <t>ENO</t>
  </si>
  <si>
    <t>Jub</t>
  </si>
  <si>
    <t>Jubilees</t>
  </si>
  <si>
    <t>JUB</t>
  </si>
  <si>
    <t>4Bar</t>
  </si>
  <si>
    <t>4 Baruch</t>
  </si>
  <si>
    <t>4BA</t>
  </si>
  <si>
    <t>1Meq</t>
  </si>
  <si>
    <t>1MQ</t>
  </si>
  <si>
    <t>2Meq</t>
  </si>
  <si>
    <t>2MQ</t>
  </si>
  <si>
    <t>3Meq</t>
  </si>
  <si>
    <t>3MQ</t>
  </si>
  <si>
    <t>Rep</t>
  </si>
  <si>
    <t>REP</t>
  </si>
  <si>
    <t>AddJer</t>
  </si>
  <si>
    <t>Additions to Jeremiah</t>
  </si>
  <si>
    <t>PsJos</t>
  </si>
  <si>
    <t>EpCorPaul</t>
  </si>
  <si>
    <t>COP</t>
  </si>
  <si>
    <t>3Cor</t>
  </si>
  <si>
    <t>3 Corinthians</t>
  </si>
  <si>
    <t>3CO</t>
  </si>
  <si>
    <t>WSir</t>
  </si>
  <si>
    <t>WSI</t>
  </si>
  <si>
    <t>PrEuth</t>
  </si>
  <si>
    <t>EUT</t>
  </si>
  <si>
    <t>DormJohn</t>
  </si>
  <si>
    <t>DOJ</t>
  </si>
  <si>
    <t>JosAsen</t>
  </si>
  <si>
    <t>Joseph and Asenath</t>
  </si>
  <si>
    <t>T12Patr</t>
  </si>
  <si>
    <t>Testaments of the Twelve Patriarchs (composed of:)</t>
  </si>
  <si>
    <t>Testament of Asher</t>
  </si>
  <si>
    <t>Testament of Benjamin</t>
  </si>
  <si>
    <t>Testament of Dan</t>
  </si>
  <si>
    <t>Testament of Gad</t>
  </si>
  <si>
    <t>Testament of Issachar</t>
  </si>
  <si>
    <t>Testament of Joseph</t>
  </si>
  <si>
    <t>Testament of Judah</t>
  </si>
  <si>
    <t>Testament of Levi</t>
  </si>
  <si>
    <t>Testament of Naphtali</t>
  </si>
  <si>
    <t>Testament of Reuben</t>
  </si>
  <si>
    <t>Testament of Simeon</t>
  </si>
  <si>
    <t>Testament of Zebulun</t>
  </si>
  <si>
    <t>2Bar</t>
  </si>
  <si>
    <t>2 Baruch</t>
  </si>
  <si>
    <t>2BA</t>
  </si>
  <si>
    <t>EpBar</t>
  </si>
  <si>
    <t>LBA</t>
  </si>
  <si>
    <t>5ApocSyrPss</t>
  </si>
  <si>
    <t>Additional Syriac Psalms</t>
  </si>
  <si>
    <t>PS3</t>
  </si>
  <si>
    <t>JosephusJWvi</t>
  </si>
  <si>
    <t>1Clem</t>
  </si>
  <si>
    <t>1 Clement</t>
  </si>
  <si>
    <t>1CL</t>
  </si>
  <si>
    <t>2Clem</t>
  </si>
  <si>
    <t>2 Clement</t>
  </si>
  <si>
    <t>2CL</t>
  </si>
  <si>
    <t>IgnEph</t>
  </si>
  <si>
    <t>Ignatius to the Ephesians</t>
  </si>
  <si>
    <t>IgnMagn</t>
  </si>
  <si>
    <t>Ignatius to the Magnesians</t>
  </si>
  <si>
    <t>IgnTrall</t>
  </si>
  <si>
    <t>Ignatius to the Trallians</t>
  </si>
  <si>
    <t>IgnRom</t>
  </si>
  <si>
    <t>Ignatius to the Romans</t>
  </si>
  <si>
    <t>IgnPhld</t>
  </si>
  <si>
    <t>Ignatius to the Philadelphians</t>
  </si>
  <si>
    <t>IgnSmyrn</t>
  </si>
  <si>
    <t>Ignatius to the Smyrnaeans</t>
  </si>
  <si>
    <t>IgnPol</t>
  </si>
  <si>
    <t>Ignatius to Polycarp</t>
  </si>
  <si>
    <t>PolPhil</t>
  </si>
  <si>
    <t>Polycarp to the Philippians</t>
  </si>
  <si>
    <t>MartPol</t>
  </si>
  <si>
    <t>Martyrdom of Polycarp</t>
  </si>
  <si>
    <t>Did</t>
  </si>
  <si>
    <t>Didache</t>
  </si>
  <si>
    <t>DID</t>
  </si>
  <si>
    <t>Barn</t>
  </si>
  <si>
    <t>Barnabas</t>
  </si>
  <si>
    <t>Herm</t>
  </si>
  <si>
    <t>SHE</t>
  </si>
  <si>
    <t>Herm.Mand</t>
  </si>
  <si>
    <t>Shepherd of Hermas, Mandates</t>
  </si>
  <si>
    <t>Herm.Sim</t>
  </si>
  <si>
    <t>Shepherd of Hermas, Similitudes</t>
  </si>
  <si>
    <t>Herm.Vis</t>
  </si>
  <si>
    <t>Shepherd of Hermas, Visions</t>
  </si>
  <si>
    <t>Diogn</t>
  </si>
  <si>
    <t>Diognetus</t>
  </si>
  <si>
    <t>AposCreed</t>
  </si>
  <si>
    <t>PapFrag</t>
  </si>
  <si>
    <t>RelElders</t>
  </si>
  <si>
    <t>QuadFrag</t>
  </si>
  <si>
    <t>TatDiat</t>
  </si>
  <si>
    <t>Diatessaron</t>
  </si>
  <si>
    <t>PsMet</t>
  </si>
  <si>
    <t>PSB</t>
  </si>
  <si>
    <t>Greek Esther</t>
  </si>
  <si>
    <t>Sirach Prologue</t>
  </si>
  <si>
    <t>Greek Daniel</t>
  </si>
  <si>
    <t>Psalm 151</t>
  </si>
  <si>
    <t>Joshua A</t>
  </si>
  <si>
    <t>Judges B</t>
  </si>
  <si>
    <t>Tobit S</t>
  </si>
  <si>
    <t>Susanna θ</t>
  </si>
  <si>
    <t>Daniel θ</t>
  </si>
  <si>
    <t>Bel and the Dragon θ</t>
  </si>
  <si>
    <t>Prayer of Solomon</t>
  </si>
  <si>
    <t>Prayer of Jeremiah</t>
  </si>
  <si>
    <t>1 Meqabyan</t>
  </si>
  <si>
    <t>2 Meqabyan</t>
  </si>
  <si>
    <t>3 Meqabyan</t>
  </si>
  <si>
    <t>Reproof</t>
  </si>
  <si>
    <t>Pseudo-Josephus</t>
  </si>
  <si>
    <t>Epistle of the Corinthians to Paul</t>
  </si>
  <si>
    <t>Words of Sirach</t>
  </si>
  <si>
    <t>Prayer of Euthalius</t>
  </si>
  <si>
    <t>Dormition of John</t>
  </si>
  <si>
    <t>Letter of Baruch</t>
  </si>
  <si>
    <t>Josephus' Jewish War VI</t>
  </si>
  <si>
    <t>Apostles' Creed</t>
  </si>
  <si>
    <t>Fragments of Papias</t>
  </si>
  <si>
    <t>Reliques of the Elders</t>
  </si>
  <si>
    <t>Fragment of Quadratus</t>
  </si>
  <si>
    <t>Metrical Psalms</t>
  </si>
  <si>
    <t>fullName</t>
  </si>
  <si>
    <t>aliases</t>
  </si>
  <si>
    <t>paratext</t>
  </si>
  <si>
    <t>Esther</t>
  </si>
  <si>
    <t>Shepherd of Hermas</t>
  </si>
  <si>
    <t>1 Nephi</t>
  </si>
  <si>
    <t>1Ne</t>
  </si>
  <si>
    <t>2 Nephi</t>
  </si>
  <si>
    <t>2Ne</t>
  </si>
  <si>
    <t>Jacob</t>
  </si>
  <si>
    <t>Jac</t>
  </si>
  <si>
    <t>Enos</t>
  </si>
  <si>
    <t>Omni</t>
  </si>
  <si>
    <t>Words of Mormon</t>
  </si>
  <si>
    <t>WoM</t>
  </si>
  <si>
    <t>Jar</t>
  </si>
  <si>
    <t>Mosiah</t>
  </si>
  <si>
    <t>Alma</t>
  </si>
  <si>
    <t>Helaman</t>
  </si>
  <si>
    <t>Hel</t>
  </si>
  <si>
    <t>3 Nephi</t>
  </si>
  <si>
    <t>3Ne</t>
  </si>
  <si>
    <t>4 Nephi</t>
  </si>
  <si>
    <t>4Ne</t>
  </si>
  <si>
    <t>Mormon</t>
  </si>
  <si>
    <t>Morm</t>
  </si>
  <si>
    <t>Moroni</t>
  </si>
  <si>
    <t>Ether</t>
  </si>
  <si>
    <t>Eth</t>
  </si>
  <si>
    <t>Mosi</t>
  </si>
  <si>
    <t>Moro</t>
  </si>
  <si>
    <t>Pearl of Great Price</t>
  </si>
  <si>
    <t>Moses</t>
  </si>
  <si>
    <t>Mos</t>
  </si>
  <si>
    <t>["Tatian's Diatessaron","Tatian"]</t>
  </si>
  <si>
    <t>["5 Apocryphal Syriac Psalms"]</t>
  </si>
  <si>
    <t>["(Syriac) Apocalypse of Baruch"]</t>
  </si>
  <si>
    <t>Abraham</t>
  </si>
  <si>
    <t>Abr</t>
  </si>
  <si>
    <t>Articles of Faith</t>
  </si>
  <si>
    <t>AofF</t>
  </si>
  <si>
    <t>JSH</t>
  </si>
  <si>
    <t>JSM</t>
  </si>
  <si>
    <t>Groups</t>
  </si>
  <si>
    <t>D&amp;C</t>
  </si>
  <si>
    <t>Jarom</t>
  </si>
  <si>
    <t>["Old Testament", "Bible", "Pentatuech", "Torah"]</t>
  </si>
  <si>
    <t>["Old Testament", "Bible"]</t>
  </si>
  <si>
    <t>["Old Testament", "Bible", "Kings"]</t>
  </si>
  <si>
    <t>["Old Testament", "Bible", "Persian Period"]</t>
  </si>
  <si>
    <t>["New Testament", "Bible", "Gospels"]</t>
  </si>
  <si>
    <t>["New Testament", "Bible"]</t>
  </si>
  <si>
    <t>["New Testament", "Bible", "Pauline Epistles"]</t>
  </si>
  <si>
    <t>["Deuterocannon", "Apocrypha"]</t>
  </si>
  <si>
    <t>["Vulgate", "Apocrypha"]</t>
  </si>
  <si>
    <t>["Ethiopian Orthodox Canon", "Apocrypha"]</t>
  </si>
  <si>
    <t>["Armenian Orthodox Canon", "Apocrypha"]</t>
  </si>
  <si>
    <t>["Syriac Orthodox Canon", "Apocrypha"]</t>
  </si>
  <si>
    <t>["Apostolic Fathers", "Apocrypha"]</t>
  </si>
  <si>
    <t>["Apocrypha", "Apocrypha"]</t>
  </si>
  <si>
    <t>["Book of Mormon", "Small Plates of Nephi", "LDS"]</t>
  </si>
  <si>
    <t>["Book of Mormon", "LDS","Mormon"]</t>
  </si>
  <si>
    <t>["Book of Mormon", "LDS", "Mormon", "Large Plates of Nephi", "Abridgement"]</t>
  </si>
  <si>
    <t>["Pearl of Great Price", "Inspired Translation", "Joseph Smith Translation", "JST", "Joseph Smith", "LDS"]</t>
  </si>
  <si>
    <t>["Pearl of Great Price", "LDS", "Joseph Smith"]</t>
  </si>
  <si>
    <t>["EpLao","LAO","Laodiceans"]</t>
  </si>
  <si>
    <t>["He", "Hlm", "Helm"]</t>
  </si>
  <si>
    <t>["4 Ne", "4th Nephi", "Fourth Nephi","IV Nephi"]</t>
  </si>
  <si>
    <t>["AofF"]</t>
  </si>
  <si>
    <t>["Canticle of Canticles","Song","SNG","Solomon's Song"]</t>
  </si>
  <si>
    <t>["Rahlfs' variant books", "Apocrypha"]</t>
  </si>
  <si>
    <t>["Rahlfs' LXX", "Apocrypha"]</t>
  </si>
  <si>
    <t>Chapters Label</t>
  </si>
  <si>
    <t>Chapter</t>
  </si>
  <si>
    <t>Section</t>
  </si>
  <si>
    <t>["3 Ne", "3rd Nephi", "Third Nephi","III Nephi"]</t>
  </si>
  <si>
    <t>Verses Label</t>
  </si>
  <si>
    <t>Verse</t>
  </si>
  <si>
    <t>Article</t>
  </si>
  <si>
    <t>Subtitle</t>
  </si>
  <si>
    <t>workOsisID</t>
  </si>
  <si>
    <t>chapterOsisID</t>
  </si>
  <si>
    <t>KJVA</t>
  </si>
  <si>
    <t>KJV</t>
  </si>
  <si>
    <t>BofM</t>
  </si>
  <si>
    <t>PGP</t>
  </si>
  <si>
    <t>Another Testament of Jesus Christ</t>
  </si>
  <si>
    <t>The First Book of Moses called Genesis</t>
  </si>
  <si>
    <t>The Second Book of Moses, called Exodus</t>
  </si>
  <si>
    <t>The Third Book of Moses, called Leviticus</t>
  </si>
  <si>
    <t>The Fourth Book of Moses, called Numbers</t>
  </si>
  <si>
    <t>The Fifth Book of Moses, called Deuteronomy</t>
  </si>
  <si>
    <t>The Gospel According to St. Matthew</t>
  </si>
  <si>
    <t>The Gospel According to St. Mark</t>
  </si>
  <si>
    <t>The Gospel According to St. Luke</t>
  </si>
  <si>
    <t>The Gospel According to St. John</t>
  </si>
  <si>
    <t>The Acts of the Apostles</t>
  </si>
  <si>
    <t xml:space="preserve">The Epistle of Paul to the Romans </t>
  </si>
  <si>
    <t xml:space="preserve">The First Epistle of Paul to the Corinthians </t>
  </si>
  <si>
    <t xml:space="preserve">The Second Epistle of Paul to the Corinthians </t>
  </si>
  <si>
    <t xml:space="preserve">The Epistle of Paul to the Galatians </t>
  </si>
  <si>
    <t xml:space="preserve">The Epistle of Paul to the Ephesians </t>
  </si>
  <si>
    <t xml:space="preserve">The Epistle of Paul to the Philippians </t>
  </si>
  <si>
    <t xml:space="preserve">The Epistle of Paul to the Colossians </t>
  </si>
  <si>
    <t xml:space="preserve">The First Epistle of Paul to the Thessalonians </t>
  </si>
  <si>
    <t xml:space="preserve">The Second Epistle of Paul to the Thessalonians </t>
  </si>
  <si>
    <t xml:space="preserve">The First Epistle of Paul to Timothy </t>
  </si>
  <si>
    <t xml:space="preserve">The Second Epistle of Paul to Timothy </t>
  </si>
  <si>
    <t xml:space="preserve">The Epistle of Paul to Titus </t>
  </si>
  <si>
    <t xml:space="preserve">The Epistle of Paul to Philemon </t>
  </si>
  <si>
    <t xml:space="preserve">The Epistle to the Hebrews </t>
  </si>
  <si>
    <t xml:space="preserve">The General Epistle of James </t>
  </si>
  <si>
    <t xml:space="preserve">The First Epistle of Peter </t>
  </si>
  <si>
    <t xml:space="preserve">The Second Epistle of Peter </t>
  </si>
  <si>
    <t xml:space="preserve">The First Epistle of John </t>
  </si>
  <si>
    <t xml:space="preserve">The Second Epistle of John </t>
  </si>
  <si>
    <t xml:space="preserve">The Third Epistle of John </t>
  </si>
  <si>
    <t xml:space="preserve">The Epistle of Jude </t>
  </si>
  <si>
    <t xml:space="preserve">The Revelation of Jesus Christ (or The Apocalypse of John) </t>
  </si>
  <si>
    <t>The Rest of the Chapters of the Book of Esther, which are found neither in the Hebrew, nor in the Chaldee</t>
  </si>
  <si>
    <t>The Wisdom of Jesus the Son of Sirach</t>
  </si>
  <si>
    <t>The Wisdom of Jesus the Son of Sirach (Prologue)</t>
  </si>
  <si>
    <t>Baruch the Prophet</t>
  </si>
  <si>
    <t>Song of the Three Holy Children</t>
  </si>
  <si>
    <t>["Song of the Three Children","Song of the Three Holy Children","PrAzar","S3Y"]</t>
  </si>
  <si>
    <t>History of Susanna</t>
  </si>
  <si>
    <t>The Prayer of Manasses King of Juda, when he was holden captive in Babylon</t>
  </si>
  <si>
    <t>The First Epistle of Clement: To the Church of God at Corinth</t>
  </si>
  <si>
    <t>The Second Epistle of Clement</t>
  </si>
  <si>
    <t>The Epistle of Ignatius to the Ephesians</t>
  </si>
  <si>
    <t>The Epistle of Ignatius to the Magnesians</t>
  </si>
  <si>
    <t>The Epistle of Ignatius to the Trallians</t>
  </si>
  <si>
    <t>The Epistle of Ignatius to the Romans</t>
  </si>
  <si>
    <t>The Epistle of Ignatius to the Philadelphians</t>
  </si>
  <si>
    <t>TAsh</t>
  </si>
  <si>
    <t>TBenj</t>
  </si>
  <si>
    <t>TDan</t>
  </si>
  <si>
    <t>TGad</t>
  </si>
  <si>
    <t>TIss</t>
  </si>
  <si>
    <t>TJos</t>
  </si>
  <si>
    <t>TJud</t>
  </si>
  <si>
    <t>TLevi</t>
  </si>
  <si>
    <t>TNaph</t>
  </si>
  <si>
    <t>TReu</t>
  </si>
  <si>
    <t>TSim</t>
  </si>
  <si>
    <t>TZeb</t>
  </si>
  <si>
    <t>The Epistle of Ignatius to the Smyrnaeans</t>
  </si>
  <si>
    <t>The Epistle of Ignatius to Polycarp</t>
  </si>
  <si>
    <t>The Epistle of Polycarp to the Philippians</t>
  </si>
  <si>
    <t>The Martyrdom of St. Polycarp</t>
  </si>
  <si>
    <t>The Epistle of Barnabas</t>
  </si>
  <si>
    <t>The Lord's Teaching Through the Twelve Apostles to the Nations</t>
  </si>
  <si>
    <t>The Shepherd of Hermas</t>
  </si>
  <si>
    <t>The Shepherd of Hermas - 12 Commandments</t>
  </si>
  <si>
    <t>The Shepherd of Hermas - 10 Parables</t>
  </si>
  <si>
    <t>The Shepherd of Hermas - 5 visions</t>
  </si>
  <si>
    <t>The Epistle to Diognetus</t>
  </si>
  <si>
    <t>Fragments of the Writings of Papias of Hierapolis</t>
  </si>
  <si>
    <t>Fragment of the Apology of Quadratus of Athens</t>
  </si>
  <si>
    <t>The First Book of Kings</t>
  </si>
  <si>
    <t>The Second Book of Kings</t>
  </si>
  <si>
    <t>The First Book of Chronicles</t>
  </si>
  <si>
    <t>The Second Book of Chronicals</t>
  </si>
  <si>
    <t>The Wisdom of Solomon</t>
  </si>
  <si>
    <t>The Epistle of Jeremiah</t>
  </si>
  <si>
    <t>Epistle of Jeremiah</t>
  </si>
  <si>
    <t>The Second Book of the Maccabees</t>
  </si>
  <si>
    <t>The Fourth Book of the Maccabees</t>
  </si>
  <si>
    <t>The Third Book of the Maccabees</t>
  </si>
  <si>
    <t>The First Book of the Maccabees</t>
  </si>
  <si>
    <t>The First Book of Esdras</t>
  </si>
  <si>
    <t>The Second Book of Esdras</t>
  </si>
  <si>
    <t>Selections from the Book of Moses</t>
  </si>
  <si>
    <t>Translated from the Papyrus, by Joseph Smith</t>
  </si>
  <si>
    <t>An extract from the translation of the Bible as revealed to Joseph Smith the Prophet in 1831: Matthew 23:39 and chapter 24</t>
  </si>
  <si>
    <t>Extracts from the History of Joseph Smith, the Prophet</t>
  </si>
  <si>
    <t>of The Church of Jesus Christ of Latter-day Saints</t>
  </si>
  <si>
    <t>Doctrine and Covenants</t>
  </si>
  <si>
    <t>["Doctrine and Covenants","LDS"]</t>
  </si>
  <si>
    <t>Joseph Smith—History</t>
  </si>
  <si>
    <t>Joseph Smith—Matthew</t>
  </si>
  <si>
    <t>The Holy Bible</t>
  </si>
  <si>
    <t>King James Version</t>
  </si>
  <si>
    <t>The Holy Bible Apocrypha</t>
  </si>
  <si>
    <t>The Book of Mormon</t>
  </si>
  <si>
    <t>Testaments of the Twelve Patriarchs</t>
  </si>
  <si>
    <t>Work Title</t>
  </si>
  <si>
    <t>Work Subtitle</t>
  </si>
  <si>
    <t>JSON</t>
  </si>
  <si>
    <t>Earliest</t>
  </si>
  <si>
    <t>Latest</t>
  </si>
  <si>
    <t>-0600-01-01</t>
  </si>
  <si>
    <t>-0570-01-01</t>
  </si>
  <si>
    <t>-0588-01-01</t>
  </si>
  <si>
    <t>-0545-01-01</t>
  </si>
  <si>
    <t>-0544-01-01</t>
  </si>
  <si>
    <t>-0421-01-01</t>
  </si>
  <si>
    <t>-0420-01-01</t>
  </si>
  <si>
    <t>-0399-01-01</t>
  </si>
  <si>
    <t>-0361-01-01</t>
  </si>
  <si>
    <t>-0323-01-01</t>
  </si>
  <si>
    <t>-0130-01-01</t>
  </si>
  <si>
    <t>0385-01-01</t>
  </si>
  <si>
    <t>-0091-01-01</t>
  </si>
  <si>
    <t>-0052-01-01</t>
  </si>
  <si>
    <t>-0001-01-01</t>
  </si>
  <si>
    <t>0005-01-01</t>
  </si>
  <si>
    <t>0035-01-01</t>
  </si>
  <si>
    <t>0321-01-01</t>
  </si>
  <si>
    <t>0421-01-01</t>
  </si>
  <si>
    <t>-2200-01-01</t>
  </si>
  <si>
    <t>-0350-01-01</t>
  </si>
  <si>
    <t>0401-01-01</t>
  </si>
  <si>
    <t>islamic</t>
  </si>
  <si>
    <t>Hadith (e.g. Sahih al-Bukhari)</t>
  </si>
  <si>
    <t>Vedas</t>
  </si>
  <si>
    <t>hindu</t>
  </si>
  <si>
    <t>Rig Veda</t>
  </si>
  <si>
    <t>Upanishads</t>
  </si>
  <si>
    <t>Bhagavad Gita</t>
  </si>
  <si>
    <t>Mahabharata</t>
  </si>
  <si>
    <t>Ramayana</t>
  </si>
  <si>
    <t>Agamas (Jain)</t>
  </si>
  <si>
    <t>jain</t>
  </si>
  <si>
    <t>Ācārāṅga Sūtra</t>
  </si>
  <si>
    <t>Kalpa Sūtra</t>
  </si>
  <si>
    <t>Tripitaka / Pāli Canon</t>
  </si>
  <si>
    <t>buddhist</t>
  </si>
  <si>
    <t>Dhammapada</t>
  </si>
  <si>
    <t>Therīgāthā</t>
  </si>
  <si>
    <t>Vinaya Pitaka</t>
  </si>
  <si>
    <t>Tao Te Ching</t>
  </si>
  <si>
    <t>taoist</t>
  </si>
  <si>
    <t>Zhuangzi</t>
  </si>
  <si>
    <t>Analects</t>
  </si>
  <si>
    <t>confucian</t>
  </si>
  <si>
    <t>I Ching (Book of Changes)</t>
  </si>
  <si>
    <t>Shiji (Records of the Grand Historian)</t>
  </si>
  <si>
    <t>other</t>
  </si>
  <si>
    <t>Zend Avesta</t>
  </si>
  <si>
    <t>zoroastrian</t>
  </si>
  <si>
    <t>Gathas (Zoroastrian)</t>
  </si>
  <si>
    <t>Pyramid Texts</t>
  </si>
  <si>
    <t>egyptian</t>
  </si>
  <si>
    <t>Coffin Texts</t>
  </si>
  <si>
    <t>Book of the Dead (Egyptian)</t>
  </si>
  <si>
    <t>Enuma Elish</t>
  </si>
  <si>
    <t>babylonian</t>
  </si>
  <si>
    <t>Epic of Gilgamesh</t>
  </si>
  <si>
    <t>sumerian</t>
  </si>
  <si>
    <t>Code of Hammurabi</t>
  </si>
  <si>
    <t>Epic of Atrahasis</t>
  </si>
  <si>
    <t>Ugaritic Baal Cycle</t>
  </si>
  <si>
    <t>ugaritic</t>
  </si>
  <si>
    <t>canaanite</t>
  </si>
  <si>
    <t>Qur'an</t>
  </si>
  <si>
    <t>confucian, taoist</t>
  </si>
  <si>
    <t>sumerian, babylonian</t>
  </si>
  <si>
    <t>ugaritic, canaanite</t>
  </si>
  <si>
    <t>jewish</t>
  </si>
  <si>
    <t>protestant</t>
  </si>
  <si>
    <t>catholic</t>
  </si>
  <si>
    <t>eastern_orthodox</t>
  </si>
  <si>
    <t>oriental_orthodox</t>
  </si>
  <si>
    <t>lds</t>
  </si>
  <si>
    <t>sikh</t>
  </si>
  <si>
    <t>shinto</t>
  </si>
  <si>
    <t>akkadian</t>
  </si>
  <si>
    <t>abrahamic</t>
  </si>
  <si>
    <t>christian</t>
  </si>
  <si>
    <t>dharmic</t>
  </si>
  <si>
    <t>east_asian</t>
  </si>
  <si>
    <t>near_eastern</t>
  </si>
  <si>
    <t>Aliases:</t>
  </si>
  <si>
    <t xml:space="preserve">    Ge.</t>
  </si>
  <si>
    <t xml:space="preserve">    Gn.</t>
  </si>
  <si>
    <t xml:space="preserve">    Exod.</t>
  </si>
  <si>
    <t xml:space="preserve">    Exo.</t>
  </si>
  <si>
    <t xml:space="preserve">    Le.</t>
  </si>
  <si>
    <t xml:space="preserve">    Lv.</t>
  </si>
  <si>
    <t xml:space="preserve">    Nu.</t>
  </si>
  <si>
    <t xml:space="preserve">    Nm.</t>
  </si>
  <si>
    <t xml:space="preserve">    Nb.</t>
  </si>
  <si>
    <t xml:space="preserve">    De.</t>
  </si>
  <si>
    <t xml:space="preserve">    Dt.</t>
  </si>
  <si>
    <t xml:space="preserve">    Jos.</t>
  </si>
  <si>
    <t xml:space="preserve">    Jsh.</t>
  </si>
  <si>
    <t xml:space="preserve">    Jdg.</t>
  </si>
  <si>
    <t xml:space="preserve">    Jg.</t>
  </si>
  <si>
    <t xml:space="preserve">    Jdgs.</t>
  </si>
  <si>
    <t xml:space="preserve">    Rth.</t>
  </si>
  <si>
    <t xml:space="preserve">    Ru.</t>
  </si>
  <si>
    <t xml:space="preserve">    1 Sm.</t>
  </si>
  <si>
    <t xml:space="preserve">    1 Sa.</t>
  </si>
  <si>
    <t xml:space="preserve">    1 S.</t>
  </si>
  <si>
    <t xml:space="preserve">    I Sam.</t>
  </si>
  <si>
    <t xml:space="preserve">    I Sa.</t>
  </si>
  <si>
    <t xml:space="preserve">    1Sam.</t>
  </si>
  <si>
    <t xml:space="preserve">    1Sa.</t>
  </si>
  <si>
    <t xml:space="preserve">    1S.</t>
  </si>
  <si>
    <t xml:space="preserve">    1st Samuel</t>
  </si>
  <si>
    <t xml:space="preserve">    1st Sam.</t>
  </si>
  <si>
    <t xml:space="preserve">    First Samuel</t>
  </si>
  <si>
    <t xml:space="preserve">    First Sam.</t>
  </si>
  <si>
    <t xml:space="preserve">    2 Sm.</t>
  </si>
  <si>
    <t xml:space="preserve">    2 Sa.</t>
  </si>
  <si>
    <t xml:space="preserve">    2 S.</t>
  </si>
  <si>
    <t xml:space="preserve">    II Sam.</t>
  </si>
  <si>
    <t xml:space="preserve">    II Sa.</t>
  </si>
  <si>
    <t xml:space="preserve">    2Sam.</t>
  </si>
  <si>
    <t xml:space="preserve">    2Sa.</t>
  </si>
  <si>
    <t xml:space="preserve">    2S.</t>
  </si>
  <si>
    <t xml:space="preserve">    2nd Samuel</t>
  </si>
  <si>
    <t xml:space="preserve">    2nd Sam.</t>
  </si>
  <si>
    <t xml:space="preserve">    Second Samuel</t>
  </si>
  <si>
    <t xml:space="preserve">    Second Sam.</t>
  </si>
  <si>
    <t xml:space="preserve">    1 Kgs</t>
  </si>
  <si>
    <t xml:space="preserve">    1 Ki</t>
  </si>
  <si>
    <t xml:space="preserve">    1Kgs</t>
  </si>
  <si>
    <t xml:space="preserve">    1Kin</t>
  </si>
  <si>
    <t xml:space="preserve">    1Ki</t>
  </si>
  <si>
    <t xml:space="preserve">    1K</t>
  </si>
  <si>
    <t xml:space="preserve">    I Kgs</t>
  </si>
  <si>
    <t xml:space="preserve">    I Ki</t>
  </si>
  <si>
    <t xml:space="preserve">    1st Kings</t>
  </si>
  <si>
    <t xml:space="preserve">    1st Kgs</t>
  </si>
  <si>
    <t xml:space="preserve">    First Kings</t>
  </si>
  <si>
    <t xml:space="preserve">    First Kgs</t>
  </si>
  <si>
    <t xml:space="preserve">    2 Kgs.</t>
  </si>
  <si>
    <t xml:space="preserve">    2 Ki.</t>
  </si>
  <si>
    <t xml:space="preserve">    2Kgs.</t>
  </si>
  <si>
    <t xml:space="preserve">    2Kin.</t>
  </si>
  <si>
    <t xml:space="preserve">    2Ki.</t>
  </si>
  <si>
    <t xml:space="preserve">    2K.</t>
  </si>
  <si>
    <t xml:space="preserve">    II Kgs.</t>
  </si>
  <si>
    <t xml:space="preserve">    II Ki.</t>
  </si>
  <si>
    <t xml:space="preserve">    2nd Kings</t>
  </si>
  <si>
    <t xml:space="preserve">    2nd Kgs.</t>
  </si>
  <si>
    <t xml:space="preserve">    Second Kings</t>
  </si>
  <si>
    <t xml:space="preserve">    Second Kgs.</t>
  </si>
  <si>
    <t xml:space="preserve">    1 Chr.</t>
  </si>
  <si>
    <t xml:space="preserve">    1 Ch.</t>
  </si>
  <si>
    <t xml:space="preserve">    1Chron.</t>
  </si>
  <si>
    <t xml:space="preserve">    1Chr.</t>
  </si>
  <si>
    <t xml:space="preserve">    1Ch.</t>
  </si>
  <si>
    <t xml:space="preserve">    I Chron.</t>
  </si>
  <si>
    <t xml:space="preserve">    I Chr.</t>
  </si>
  <si>
    <t xml:space="preserve">    I Ch.</t>
  </si>
  <si>
    <t xml:space="preserve">    1st Chronicles</t>
  </si>
  <si>
    <t xml:space="preserve">    1st Chron.</t>
  </si>
  <si>
    <t xml:space="preserve">    First Chronicles</t>
  </si>
  <si>
    <t xml:space="preserve">    First Chron.</t>
  </si>
  <si>
    <t xml:space="preserve">    2 Chr.</t>
  </si>
  <si>
    <t xml:space="preserve">    2 Ch.</t>
  </si>
  <si>
    <t xml:space="preserve">    2Chron.</t>
  </si>
  <si>
    <t xml:space="preserve">    2Chr.</t>
  </si>
  <si>
    <t xml:space="preserve">    2Ch.</t>
  </si>
  <si>
    <t xml:space="preserve">    II Chron.</t>
  </si>
  <si>
    <t xml:space="preserve">    II Chr.</t>
  </si>
  <si>
    <t xml:space="preserve">    II Ch.</t>
  </si>
  <si>
    <t xml:space="preserve">    2nd Chronicles</t>
  </si>
  <si>
    <t xml:space="preserve">    2nd Chron.</t>
  </si>
  <si>
    <t xml:space="preserve">    Second Chronicles</t>
  </si>
  <si>
    <t xml:space="preserve">    Second Chron.</t>
  </si>
  <si>
    <t xml:space="preserve">    Ezr.</t>
  </si>
  <si>
    <t xml:space="preserve">    Ez.</t>
  </si>
  <si>
    <t xml:space="preserve">    Ne.</t>
  </si>
  <si>
    <t xml:space="preserve">    Esth.</t>
  </si>
  <si>
    <t xml:space="preserve">    Es.</t>
  </si>
  <si>
    <t xml:space="preserve">    Jb.</t>
  </si>
  <si>
    <t xml:space="preserve">    Psalm</t>
  </si>
  <si>
    <t xml:space="preserve">    Pslm.</t>
  </si>
  <si>
    <t xml:space="preserve">    Psa.</t>
  </si>
  <si>
    <t xml:space="preserve">    Psm.</t>
  </si>
  <si>
    <t xml:space="preserve">    Pss.</t>
  </si>
  <si>
    <t xml:space="preserve">    Pro.</t>
  </si>
  <si>
    <t xml:space="preserve">    Prv.</t>
  </si>
  <si>
    <t xml:space="preserve">    Pr.</t>
  </si>
  <si>
    <t xml:space="preserve">    Eccle.</t>
  </si>
  <si>
    <t xml:space="preserve">    Ecc.</t>
  </si>
  <si>
    <t xml:space="preserve">    Ec.</t>
  </si>
  <si>
    <t xml:space="preserve">    Qoh.</t>
  </si>
  <si>
    <t xml:space="preserve">    Song of Songs</t>
  </si>
  <si>
    <t xml:space="preserve">    SOS.</t>
  </si>
  <si>
    <t xml:space="preserve">    So.</t>
  </si>
  <si>
    <t xml:space="preserve">    Canticle of Canticles</t>
  </si>
  <si>
    <t xml:space="preserve">    Canticles</t>
  </si>
  <si>
    <t xml:space="preserve">    Cant.</t>
  </si>
  <si>
    <t xml:space="preserve">    Is.</t>
  </si>
  <si>
    <t xml:space="preserve">    Je.</t>
  </si>
  <si>
    <t xml:space="preserve">    Jr.</t>
  </si>
  <si>
    <t xml:space="preserve">    La.</t>
  </si>
  <si>
    <t xml:space="preserve">    Eze.</t>
  </si>
  <si>
    <t xml:space="preserve">    Ezk.</t>
  </si>
  <si>
    <t xml:space="preserve">    Da.</t>
  </si>
  <si>
    <t xml:space="preserve">    Dn.</t>
  </si>
  <si>
    <t xml:space="preserve">    Ho.</t>
  </si>
  <si>
    <t xml:space="preserve">    Jl.</t>
  </si>
  <si>
    <t xml:space="preserve">    Am.</t>
  </si>
  <si>
    <t xml:space="preserve">    Ob.</t>
  </si>
  <si>
    <t xml:space="preserve">    Jnh.</t>
  </si>
  <si>
    <t xml:space="preserve">    Jon.</t>
  </si>
  <si>
    <t xml:space="preserve">    Mc.</t>
  </si>
  <si>
    <t xml:space="preserve">    Na.</t>
  </si>
  <si>
    <t xml:space="preserve">    Hb.</t>
  </si>
  <si>
    <t xml:space="preserve">    Zep.</t>
  </si>
  <si>
    <t xml:space="preserve">    Zp.</t>
  </si>
  <si>
    <t xml:space="preserve">    Hg.</t>
  </si>
  <si>
    <t xml:space="preserve">    Zec.</t>
  </si>
  <si>
    <t xml:space="preserve">    Zc.</t>
  </si>
  <si>
    <t xml:space="preserve">    Ml.</t>
  </si>
  <si>
    <t xml:space="preserve">    Mt.</t>
  </si>
  <si>
    <t xml:space="preserve">    Mrk</t>
  </si>
  <si>
    <t xml:space="preserve">    Mar</t>
  </si>
  <si>
    <t xml:space="preserve">    Mk</t>
  </si>
  <si>
    <t xml:space="preserve">    Mr</t>
  </si>
  <si>
    <t xml:space="preserve">    Luk</t>
  </si>
  <si>
    <t xml:space="preserve">    Lk</t>
  </si>
  <si>
    <t xml:space="preserve">    Joh</t>
  </si>
  <si>
    <t xml:space="preserve">    Jhn</t>
  </si>
  <si>
    <t xml:space="preserve">    Jn</t>
  </si>
  <si>
    <t xml:space="preserve">    Act</t>
  </si>
  <si>
    <t xml:space="preserve">    Ac</t>
  </si>
  <si>
    <t xml:space="preserve">    Ro.</t>
  </si>
  <si>
    <t xml:space="preserve">    Rm.</t>
  </si>
  <si>
    <t xml:space="preserve">    1 Co.</t>
  </si>
  <si>
    <t xml:space="preserve">    I Cor.</t>
  </si>
  <si>
    <t xml:space="preserve">    I Co.</t>
  </si>
  <si>
    <t xml:space="preserve">    1Cor.</t>
  </si>
  <si>
    <t xml:space="preserve">    1Co.</t>
  </si>
  <si>
    <t xml:space="preserve">    I Corinthians</t>
  </si>
  <si>
    <t xml:space="preserve">    1Corinthians</t>
  </si>
  <si>
    <t xml:space="preserve">    1st Corinthians</t>
  </si>
  <si>
    <t xml:space="preserve">    First Corinthians</t>
  </si>
  <si>
    <t xml:space="preserve">    2 Co.</t>
  </si>
  <si>
    <t xml:space="preserve">    II Cor.</t>
  </si>
  <si>
    <t xml:space="preserve">    II Co.</t>
  </si>
  <si>
    <t xml:space="preserve">    2Cor.</t>
  </si>
  <si>
    <t xml:space="preserve">    2Co.</t>
  </si>
  <si>
    <t xml:space="preserve">    II Corinthians</t>
  </si>
  <si>
    <t xml:space="preserve">    2Corinthians</t>
  </si>
  <si>
    <t xml:space="preserve">    2nd Corinthians</t>
  </si>
  <si>
    <t xml:space="preserve">    Second Corinthians</t>
  </si>
  <si>
    <t xml:space="preserve">    Ga.</t>
  </si>
  <si>
    <t xml:space="preserve">    Ephes.</t>
  </si>
  <si>
    <t xml:space="preserve">    Php.</t>
  </si>
  <si>
    <t xml:space="preserve">    Pp.</t>
  </si>
  <si>
    <t xml:space="preserve">    Co.</t>
  </si>
  <si>
    <t xml:space="preserve">    1 Thes.</t>
  </si>
  <si>
    <t xml:space="preserve">    1 Th.</t>
  </si>
  <si>
    <t xml:space="preserve">    I Thessalonians</t>
  </si>
  <si>
    <t xml:space="preserve">    I Thess.</t>
  </si>
  <si>
    <t xml:space="preserve">    I Thes.</t>
  </si>
  <si>
    <t xml:space="preserve">    I Th.</t>
  </si>
  <si>
    <t xml:space="preserve">    1Thessalonians</t>
  </si>
  <si>
    <t xml:space="preserve">    1Thess.</t>
  </si>
  <si>
    <t xml:space="preserve">    1Thes.</t>
  </si>
  <si>
    <t xml:space="preserve">    1Th.</t>
  </si>
  <si>
    <t xml:space="preserve">    1st Thessalonians</t>
  </si>
  <si>
    <t xml:space="preserve">    1st Thess.</t>
  </si>
  <si>
    <t xml:space="preserve">    First Thessalonians</t>
  </si>
  <si>
    <t xml:space="preserve">    First Thess.</t>
  </si>
  <si>
    <t xml:space="preserve">    2 Thes.</t>
  </si>
  <si>
    <t xml:space="preserve">    2 Th.</t>
  </si>
  <si>
    <t xml:space="preserve">    II Thessalonians</t>
  </si>
  <si>
    <t xml:space="preserve">    II Thess.</t>
  </si>
  <si>
    <t xml:space="preserve">    II Thes.</t>
  </si>
  <si>
    <t xml:space="preserve">    II Th.</t>
  </si>
  <si>
    <t xml:space="preserve">    2Thessalonians</t>
  </si>
  <si>
    <t xml:space="preserve">    2Thess.</t>
  </si>
  <si>
    <t xml:space="preserve">    2Thes.</t>
  </si>
  <si>
    <t xml:space="preserve">    2Th.</t>
  </si>
  <si>
    <t xml:space="preserve">    2nd Thessalonians</t>
  </si>
  <si>
    <t xml:space="preserve">    2nd Thess.</t>
  </si>
  <si>
    <t xml:space="preserve">    Second Thessalonians</t>
  </si>
  <si>
    <t xml:space="preserve">    Second Thess.</t>
  </si>
  <si>
    <t xml:space="preserve">    1 Ti.</t>
  </si>
  <si>
    <t xml:space="preserve">    I Timothy</t>
  </si>
  <si>
    <t xml:space="preserve">    I Tim.</t>
  </si>
  <si>
    <t xml:space="preserve">    I Ti.</t>
  </si>
  <si>
    <t xml:space="preserve">    1Timothy</t>
  </si>
  <si>
    <t xml:space="preserve">    1Tim.</t>
  </si>
  <si>
    <t xml:space="preserve">    1Ti.</t>
  </si>
  <si>
    <t xml:space="preserve">    1st Timothy</t>
  </si>
  <si>
    <t xml:space="preserve">    1st Tim.</t>
  </si>
  <si>
    <t xml:space="preserve">    First Timothy</t>
  </si>
  <si>
    <t xml:space="preserve">    First Tim.</t>
  </si>
  <si>
    <t xml:space="preserve">    2 Ti.</t>
  </si>
  <si>
    <t xml:space="preserve">    II Timothy</t>
  </si>
  <si>
    <t xml:space="preserve">    II Tim.</t>
  </si>
  <si>
    <t xml:space="preserve">    II Ti.</t>
  </si>
  <si>
    <t xml:space="preserve">    2Timothy</t>
  </si>
  <si>
    <t xml:space="preserve">    2Tim.</t>
  </si>
  <si>
    <t xml:space="preserve">    2Ti.</t>
  </si>
  <si>
    <t xml:space="preserve">    2nd Timothy</t>
  </si>
  <si>
    <t xml:space="preserve">    2nd Tim.</t>
  </si>
  <si>
    <t xml:space="preserve">    Second Timothy</t>
  </si>
  <si>
    <t xml:space="preserve">    Second Tim.</t>
  </si>
  <si>
    <t xml:space="preserve">    Tit</t>
  </si>
  <si>
    <t xml:space="preserve">    ti</t>
  </si>
  <si>
    <t xml:space="preserve">    Phm.</t>
  </si>
  <si>
    <t xml:space="preserve">    Pm.</t>
  </si>
  <si>
    <t xml:space="preserve">    Jas</t>
  </si>
  <si>
    <t xml:space="preserve">    Jm</t>
  </si>
  <si>
    <t xml:space="preserve">    1 Pe.</t>
  </si>
  <si>
    <t xml:space="preserve">    1 Pt.</t>
  </si>
  <si>
    <t xml:space="preserve">    1 P.</t>
  </si>
  <si>
    <t xml:space="preserve">    I Pet.</t>
  </si>
  <si>
    <t xml:space="preserve">    I Pt.</t>
  </si>
  <si>
    <t xml:space="preserve">    I Pe.</t>
  </si>
  <si>
    <t xml:space="preserve">    1Peter</t>
  </si>
  <si>
    <t xml:space="preserve">    1Pet.</t>
  </si>
  <si>
    <t xml:space="preserve">    1Pe.</t>
  </si>
  <si>
    <t xml:space="preserve">    1Pt.</t>
  </si>
  <si>
    <t xml:space="preserve">    1P.</t>
  </si>
  <si>
    <t xml:space="preserve">    I Peter</t>
  </si>
  <si>
    <t xml:space="preserve">    1st Peter</t>
  </si>
  <si>
    <t xml:space="preserve">    First Peter</t>
  </si>
  <si>
    <t xml:space="preserve">    2 Pe.</t>
  </si>
  <si>
    <t xml:space="preserve">    2 Pt.</t>
  </si>
  <si>
    <t xml:space="preserve">    2 P.</t>
  </si>
  <si>
    <t xml:space="preserve">    II Peter</t>
  </si>
  <si>
    <t xml:space="preserve">    II Pet.</t>
  </si>
  <si>
    <t xml:space="preserve">    II Pt.</t>
  </si>
  <si>
    <t xml:space="preserve">    II Pe.</t>
  </si>
  <si>
    <t xml:space="preserve">    2Peter</t>
  </si>
  <si>
    <t xml:space="preserve">    2Pet.</t>
  </si>
  <si>
    <t xml:space="preserve">    2Pe.</t>
  </si>
  <si>
    <t xml:space="preserve">    2Pt.</t>
  </si>
  <si>
    <t xml:space="preserve">    2P.</t>
  </si>
  <si>
    <t xml:space="preserve">    2nd Peter</t>
  </si>
  <si>
    <t xml:space="preserve">    Second Peter</t>
  </si>
  <si>
    <t xml:space="preserve">    1 Jhn.</t>
  </si>
  <si>
    <t xml:space="preserve">    1 Jn.</t>
  </si>
  <si>
    <t xml:space="preserve">    1 J.</t>
  </si>
  <si>
    <t xml:space="preserve">    1John</t>
  </si>
  <si>
    <t xml:space="preserve">    1Jhn.</t>
  </si>
  <si>
    <t xml:space="preserve">    1Joh.</t>
  </si>
  <si>
    <t xml:space="preserve">    1Jn.</t>
  </si>
  <si>
    <t xml:space="preserve">    1Jo.</t>
  </si>
  <si>
    <t xml:space="preserve">    1J.</t>
  </si>
  <si>
    <t xml:space="preserve">    I John</t>
  </si>
  <si>
    <t xml:space="preserve">    I Jhn.</t>
  </si>
  <si>
    <t xml:space="preserve">    I Joh.</t>
  </si>
  <si>
    <t xml:space="preserve">    I Jn.</t>
  </si>
  <si>
    <t xml:space="preserve">    I Jo.</t>
  </si>
  <si>
    <t xml:space="preserve">    1st John</t>
  </si>
  <si>
    <t xml:space="preserve">    First John</t>
  </si>
  <si>
    <t xml:space="preserve">    2 Jhn.</t>
  </si>
  <si>
    <t xml:space="preserve">    2 Jn.</t>
  </si>
  <si>
    <t xml:space="preserve">    2 J.</t>
  </si>
  <si>
    <t xml:space="preserve">    2John</t>
  </si>
  <si>
    <t xml:space="preserve">    2Jhn.</t>
  </si>
  <si>
    <t xml:space="preserve">    2Joh.</t>
  </si>
  <si>
    <t xml:space="preserve">    2Jn.</t>
  </si>
  <si>
    <t xml:space="preserve">    2Jo.</t>
  </si>
  <si>
    <t xml:space="preserve">    2J.</t>
  </si>
  <si>
    <t xml:space="preserve">    II John</t>
  </si>
  <si>
    <t xml:space="preserve">    II Jhn.</t>
  </si>
  <si>
    <t xml:space="preserve">    II Joh.</t>
  </si>
  <si>
    <t xml:space="preserve">    II Jn.</t>
  </si>
  <si>
    <t xml:space="preserve">    II Jo.</t>
  </si>
  <si>
    <t xml:space="preserve">    2nd John</t>
  </si>
  <si>
    <t xml:space="preserve">    Second John</t>
  </si>
  <si>
    <t xml:space="preserve">    3 Jhn.</t>
  </si>
  <si>
    <t xml:space="preserve">    3 Jn.</t>
  </si>
  <si>
    <t xml:space="preserve">    3 J.</t>
  </si>
  <si>
    <t xml:space="preserve">    3John</t>
  </si>
  <si>
    <t xml:space="preserve">    3Jhn.</t>
  </si>
  <si>
    <t xml:space="preserve">    3Joh.</t>
  </si>
  <si>
    <t xml:space="preserve">    3Jn.</t>
  </si>
  <si>
    <t xml:space="preserve">    3Jo.</t>
  </si>
  <si>
    <t xml:space="preserve">    3J.</t>
  </si>
  <si>
    <t xml:space="preserve">    III John</t>
  </si>
  <si>
    <t xml:space="preserve">    III Jhn.</t>
  </si>
  <si>
    <t xml:space="preserve">    III Joh.</t>
  </si>
  <si>
    <t xml:space="preserve">    III Jn.</t>
  </si>
  <si>
    <t xml:space="preserve">    III Jo.</t>
  </si>
  <si>
    <t xml:space="preserve">    3rd John</t>
  </si>
  <si>
    <t xml:space="preserve">    Third John</t>
  </si>
  <si>
    <t xml:space="preserve">    Jud.</t>
  </si>
  <si>
    <t xml:space="preserve">    Jd.</t>
  </si>
  <si>
    <t xml:space="preserve">    Re</t>
  </si>
  <si>
    <t xml:space="preserve">    The Revelation</t>
  </si>
  <si>
    <t xml:space="preserve"> */</t>
  </si>
  <si>
    <t>Aliases</t>
  </si>
  <si>
    <t>["BOM","Book of Mormon"]</t>
  </si>
  <si>
    <t>["The Pearl of Great Price","PGoP"]</t>
  </si>
  <si>
    <t>["D and C", "The Doctrine &amp; Covenants","Doctrine &amp; Covenants", "The Doctrine and Covenants"]</t>
  </si>
  <si>
    <t>["King James Apocrypha"]</t>
  </si>
  <si>
    <t>["The Didache"]</t>
  </si>
  <si>
    <t>["The Testaments of the Twelve Patriarchs","The Testament of the Twelve Patriarchs","The Testament of the 12 Patriarchs","Testament of the Twelve Patriarchs","Testament of the 12 Patriarchs","Testaments of the 12 Patriarchs","12 Patriarchs","The 12 Patriarchs","The Twelve Patriarchs","T 12 Patriarchs", "12 Patr"]</t>
  </si>
  <si>
    <t>["Ex","The Second Book of Moses called Exodus"]</t>
  </si>
  <si>
    <t>["Ge","Gn","The First Book of Moses called Genesis"]</t>
  </si>
  <si>
    <t>["Le","The Third Book of Moses called Leviticus"]</t>
  </si>
  <si>
    <t>["Nu","Nm","Nb","The Fourth Book of Moses called Numbers"]</t>
  </si>
  <si>
    <t>["Deut","Dt","Du","The Fifth Book of Moses called Deuteronomy"]</t>
  </si>
  <si>
    <t>["Judg","Jdg","Jdgs","Jg"]</t>
  </si>
  <si>
    <t>["Rth","Ru"]</t>
  </si>
  <si>
    <t>["The Bible","Bible","Holy Bible"]</t>
  </si>
  <si>
    <t>Authors</t>
  </si>
  <si>
    <t>["Moses"]</t>
  </si>
  <si>
    <t>["Isaiah"]</t>
  </si>
  <si>
    <t>["Jeremiah"]</t>
  </si>
  <si>
    <t>["Ezekiel"]</t>
  </si>
  <si>
    <t>["Daniel"]</t>
  </si>
  <si>
    <t>["St. John"]</t>
  </si>
  <si>
    <t>["Paul"]</t>
  </si>
  <si>
    <t>["St. Luke"]</t>
  </si>
  <si>
    <t>["St. Mark"]</t>
  </si>
  <si>
    <t>["St. Matthew"]</t>
  </si>
  <si>
    <t>["James"]</t>
  </si>
  <si>
    <t>["Peter"]</t>
  </si>
  <si>
    <t>["The Apostle John"]</t>
  </si>
  <si>
    <t>["John the Revelator"]</t>
  </si>
  <si>
    <t>["Nephi"]</t>
  </si>
  <si>
    <t>["Jacob"]</t>
  </si>
  <si>
    <t>["Mormon"]</t>
  </si>
  <si>
    <t>["Abraham"]</t>
  </si>
  <si>
    <t>["Joseph Smith"]</t>
  </si>
  <si>
    <t xml:space="preserve">    Gen.</t>
  </si>
  <si>
    <t xml:space="preserve">    Ex.</t>
  </si>
  <si>
    <t xml:space="preserve">    Lev.</t>
  </si>
  <si>
    <t xml:space="preserve">    Num.</t>
  </si>
  <si>
    <t xml:space="preserve">    Deut.</t>
  </si>
  <si>
    <t xml:space="preserve">    Josh.</t>
  </si>
  <si>
    <t xml:space="preserve">    Judg.</t>
  </si>
  <si>
    <t xml:space="preserve">    Ruth</t>
  </si>
  <si>
    <t xml:space="preserve">    1 Sam.</t>
  </si>
  <si>
    <t xml:space="preserve">    2 Sam.</t>
  </si>
  <si>
    <t xml:space="preserve">    1 Kings</t>
  </si>
  <si>
    <t xml:space="preserve">    2 Kings</t>
  </si>
  <si>
    <t xml:space="preserve">    1 Chron.</t>
  </si>
  <si>
    <t xml:space="preserve">    2 Chron.</t>
  </si>
  <si>
    <t xml:space="preserve">    Ezra</t>
  </si>
  <si>
    <t xml:space="preserve">    Neh.</t>
  </si>
  <si>
    <t xml:space="preserve">    Est.</t>
  </si>
  <si>
    <t xml:space="preserve">    Job</t>
  </si>
  <si>
    <t xml:space="preserve">    Ps.</t>
  </si>
  <si>
    <t xml:space="preserve">    Prov</t>
  </si>
  <si>
    <t xml:space="preserve">    Eccles.</t>
  </si>
  <si>
    <t xml:space="preserve">    Song</t>
  </si>
  <si>
    <t xml:space="preserve">    Isa.</t>
  </si>
  <si>
    <t xml:space="preserve">    Jer.</t>
  </si>
  <si>
    <t xml:space="preserve">    Lam.</t>
  </si>
  <si>
    <t xml:space="preserve">    Ezek.</t>
  </si>
  <si>
    <t xml:space="preserve">    Dan.</t>
  </si>
  <si>
    <t xml:space="preserve">    Hos.</t>
  </si>
  <si>
    <t xml:space="preserve">    Joel</t>
  </si>
  <si>
    <t xml:space="preserve">    Amos</t>
  </si>
  <si>
    <t xml:space="preserve">    Obad.</t>
  </si>
  <si>
    <t xml:space="preserve">    Jonah</t>
  </si>
  <si>
    <t xml:space="preserve">    Mic.</t>
  </si>
  <si>
    <t xml:space="preserve">    Nah.</t>
  </si>
  <si>
    <t xml:space="preserve">    Hab.</t>
  </si>
  <si>
    <t xml:space="preserve">    Zeph.</t>
  </si>
  <si>
    <t xml:space="preserve">    Hag.</t>
  </si>
  <si>
    <t xml:space="preserve">    Zech.</t>
  </si>
  <si>
    <t xml:space="preserve">    Mal.</t>
  </si>
  <si>
    <t xml:space="preserve">    Matt.</t>
  </si>
  <si>
    <t xml:space="preserve">    Mark</t>
  </si>
  <si>
    <t xml:space="preserve">    Luke</t>
  </si>
  <si>
    <t xml:space="preserve">    John</t>
  </si>
  <si>
    <t xml:space="preserve">    Acts</t>
  </si>
  <si>
    <t xml:space="preserve">    Rom.</t>
  </si>
  <si>
    <t xml:space="preserve">    1 Cor.</t>
  </si>
  <si>
    <t xml:space="preserve">    2 Cor.</t>
  </si>
  <si>
    <t xml:space="preserve">    Gal.</t>
  </si>
  <si>
    <t xml:space="preserve">    Eph.</t>
  </si>
  <si>
    <t xml:space="preserve">    Phil.</t>
  </si>
  <si>
    <t xml:space="preserve">    Col.</t>
  </si>
  <si>
    <t xml:space="preserve">    1 Thess.</t>
  </si>
  <si>
    <t xml:space="preserve">    2 Thess.</t>
  </si>
  <si>
    <t xml:space="preserve">    1 Tim.</t>
  </si>
  <si>
    <t xml:space="preserve">    2 Tim.</t>
  </si>
  <si>
    <t xml:space="preserve">    Titus</t>
  </si>
  <si>
    <t xml:space="preserve">    Philem.</t>
  </si>
  <si>
    <t xml:space="preserve">    Heb.</t>
  </si>
  <si>
    <t xml:space="preserve">    James</t>
  </si>
  <si>
    <t xml:space="preserve">    1 Pet.</t>
  </si>
  <si>
    <t xml:space="preserve">    2 Pet.</t>
  </si>
  <si>
    <t xml:space="preserve">    1 John</t>
  </si>
  <si>
    <t xml:space="preserve">    2 John</t>
  </si>
  <si>
    <t xml:space="preserve">    3 John</t>
  </si>
  <si>
    <t xml:space="preserve">    Jude</t>
  </si>
  <si>
    <t>hasData</t>
  </si>
  <si>
    <t>[]</t>
  </si>
  <si>
    <t>["Manasseh"]</t>
  </si>
  <si>
    <t>["Esdras"]</t>
  </si>
  <si>
    <t>["Susanna"]</t>
  </si>
  <si>
    <t>["Azariah"]</t>
  </si>
  <si>
    <t>["Sirach"]</t>
  </si>
  <si>
    <t>["Solomon"]</t>
  </si>
  <si>
    <t>["Esther"]</t>
  </si>
  <si>
    <t>["Judith"]</t>
  </si>
  <si>
    <t>["Tobit"]</t>
  </si>
  <si>
    <t>["Jude"]</t>
  </si>
  <si>
    <t>["Asher"]</t>
  </si>
  <si>
    <t>["Benjamin"]</t>
  </si>
  <si>
    <t>["Dan"]</t>
  </si>
  <si>
    <t>["Gad"]</t>
  </si>
  <si>
    <t>["Issachar"]</t>
  </si>
  <si>
    <t>["Joseph"]</t>
  </si>
  <si>
    <t>["Judah"]</t>
  </si>
  <si>
    <t>["Levi"]</t>
  </si>
  <si>
    <t>["Naphtali"]</t>
  </si>
  <si>
    <t>["Reuben"]</t>
  </si>
  <si>
    <t>["Simeon"]</t>
  </si>
  <si>
    <t>["Zebulun"]</t>
  </si>
  <si>
    <t>["Baruch"]</t>
  </si>
  <si>
    <t>["Josephus"]</t>
  </si>
  <si>
    <t>["Clement"]</t>
  </si>
  <si>
    <t>["Ignatius"]</t>
  </si>
  <si>
    <t>["Polycarp"]</t>
  </si>
  <si>
    <t>["Barnabas"]</t>
  </si>
  <si>
    <t>["Apostalic Fathers"]</t>
  </si>
  <si>
    <t>["Papias"]</t>
  </si>
  <si>
    <t>["Quadratus"]</t>
  </si>
  <si>
    <t>["Enos"]</t>
  </si>
  <si>
    <t>["Jarom"]</t>
  </si>
  <si>
    <t>["Omni","Chemish","Abinadom","Amaleki"]</t>
  </si>
  <si>
    <t>["Ezra"]</t>
  </si>
  <si>
    <t>["Enoch"]</t>
  </si>
  <si>
    <t>["Euthalius"]</t>
  </si>
  <si>
    <t>["John"]</t>
  </si>
  <si>
    <t>["Joshua"]</t>
  </si>
  <si>
    <t>["St Matthew","St. Matthew","Saint Matthew","The Gospel According to St Matthew","The Gospel According to St. Matthew","The Gospel According to Saint Matthew"]</t>
  </si>
  <si>
    <t>["St Mark","St. Mark","Saint Mark","The Gospel According to St Mark","The Gospel According to St. Mark","The Gospel According to Saint Mark"]</t>
  </si>
  <si>
    <t>["St Luke","St. Luke","Saint Luke","The Gospel According to St Luke","The Gospel According to St. Luke","The Gospel According to Saint Luke"]</t>
  </si>
  <si>
    <t>["St John","St. John","Saint John","The Gospel According to St John","The Gospel According to St. John","The Gospel According to Saint John"]</t>
  </si>
  <si>
    <t>Who Is the Son of Nephi—One of the Disciples of Jesus Christ</t>
  </si>
  <si>
    <t>the Son of Nephi, Who Was the Son of Helaman</t>
  </si>
  <si>
    <t>the Brother of Nephi</t>
  </si>
  <si>
    <t>the Son of Alma</t>
  </si>
  <si>
    <t>The record of the Jaredites, taken from the twenty-four plates found by the people of Limhi in the days of King Mosiah.</t>
  </si>
  <si>
    <t>traditions</t>
  </si>
  <si>
    <t>families</t>
  </si>
  <si>
    <t>traditionFamilies</t>
  </si>
  <si>
    <t>["Josh"]</t>
  </si>
  <si>
    <t>["Wisdom of Solomon"]</t>
  </si>
  <si>
    <t>["Ecclesiasticus Prologue"]</t>
  </si>
  <si>
    <t>["Ecclesiasticus"]</t>
  </si>
  <si>
    <t>["Ezra Apocalypse"]</t>
  </si>
  <si>
    <t>["Ethiopic Apocalypse of Enoch","Ethiopic Enoch"]</t>
  </si>
  <si>
    <t>["Paraleipomena Jeremiou"]</t>
  </si>
  <si>
    <t>["Tegsas","Tegsats","Taagsas"]</t>
  </si>
  <si>
    <t>["Rest of Jeremiah"]</t>
  </si>
  <si>
    <t>["Jossipon","Joseph ben Gorion's Medieval History of the Jews"]</t>
  </si>
  <si>
    <t>["1 Ne", "1st Nephi", "First Nephi", "The First Book of Nephi","I Nephi"]</t>
  </si>
  <si>
    <t>["2 Ne", "2nd Nephi", "Second Nephi", "The Second Book of Nephi", "II Nephi"]</t>
  </si>
  <si>
    <t>["Mmn"]</t>
  </si>
  <si>
    <t>["Mni"]</t>
  </si>
  <si>
    <t>["The Book of Moses"]</t>
  </si>
  <si>
    <t>["The Book of Abraham"]</t>
  </si>
  <si>
    <t>["JSH", "JS-H", "Joseph Smith History","Joseph Smith--History"]</t>
  </si>
  <si>
    <t>["JSM","JS-M",  "Joseph Smith Matthew","Joseph Smith--Matthew"]</t>
  </si>
  <si>
    <t>["Ez"]</t>
  </si>
  <si>
    <t>["Qohelet"]</t>
  </si>
  <si>
    <t>["1 Sam","1 Sm","1 Sa","1 S","I Sam","I Sa","1Sam","1Sa","1S","1st Samuel","1st Sam","First Samuel","First Sam"]</t>
  </si>
  <si>
    <t>["2 Sam","2 Sm","2 Sa","2 S","II Sam","II Sa","2Sam","2Sa","2S","2nd Samuel","2nd Sam","Second Samuel","Second Sam"]</t>
  </si>
  <si>
    <t>["1 Kgs","1 Ki","1Kin","1K","I Kgs","I Ki","1st Kings","1st Kgs","First Kings","First Kgs"]</t>
  </si>
  <si>
    <t>["2 Kgs","2 Ki","2Kin","2K","II Kgs","II Ki","2nd Kings","2nd Kgs","Second Kings","Second Kgs"]</t>
  </si>
  <si>
    <t>["1 Chron","1 Chr","1 Ch","1Chron","1Chr","1Ch","I Chron","I Chr","I Ch","1st Chronicles","1st Chron","First Chronicles","First Chron"]</t>
  </si>
  <si>
    <t>["2 Chron","2 Chr","2 Ch","2Chron","2Chr","2Ch","II Chron","II Chr","II Ch","2nd Chronicles","2nd Chron","Second Chronicles","Second Chron"]</t>
  </si>
  <si>
    <t>["Ne"]</t>
  </si>
  <si>
    <t>["Es"]</t>
  </si>
  <si>
    <t>["Jb"]</t>
  </si>
  <si>
    <t>["Psalm","Pslm","Psm","Pss"]</t>
  </si>
  <si>
    <t>["The Epistle of Jeremiah","The Letter of Jeremiah","Letter of Jeremiah"]</t>
  </si>
  <si>
    <t>["Prv","Pv"]</t>
  </si>
  <si>
    <t>["Is"]</t>
  </si>
  <si>
    <t>["Je","Jr"]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</si>
</sst>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2"/>
      <color theme="1"/>
      <name val="Aptos Narrow"/>
      <family val="2"/>
      <scheme val="minor"/>
    </font>
    <font>
      <b/>
      <sz val="12"/>
      <color theme="1"/>
      <name val="Aptos Narrow"/>
      <family val="2"/>
      <scheme val="minor"/>
    </font>
    <font>
      <u/>
      <sz val="12"/>
      <color theme="10"/>
      <name val="Aptos Narrow"/>
      <family val="2"/>
      <scheme val="minor"/>
    </font>
    <font>
      <b/>
      <sz val="12"/>
      <name val="Aptos Narrow"/>
      <family val="2"/>
      <scheme val="minor"/>
    </font>
    <font>
      <sz val="12"/>
      <name val="Aptos Narrow"/>
      <family val="2"/>
      <scheme val="minor"/>
    </font>
    <font>
      <sz val="12"/>
      <color rgb="FF000000"/>
      <name val="Aptos Narrow"/>
      <family val="2"/>
      <scheme val="minor"/>
    </font>
    <font>
      <b/>
      <sz val="12"/>
      <color theme="1"/>
      <name val="Aptos Narrow"/>
      <scheme val="minor"/>
    </font>
    <font>
      <b/>
      <sz val="12"/>
      <name val="Aptos Narrow"/>
      <scheme val="minor"/>
    </font>
    <font>
      <sz val="10.5"/>
      <color rgb="FF7A7E85"/>
      <name val="Monaco"/>
      <family val="3"/>
    </font>
  </fonts>
  <fills count="4">
    <fill>
      <patternFill patternType="none"/>
    </fill>
    <fill>
      <patternFill patternType="gray125"/>
    </fill>
    <fill>
      <patternFill patternType="solid">
        <fgColor theme="9" tint="0.79998168889431442"/>
        <bgColor indexed="64"/>
      </patternFill>
    </fill>
    <fill>
      <patternFill patternType="solid">
        <fgColor rgb="FFDAF2D0"/>
        <bgColor rgb="FF000000"/>
      </patternFill>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17">
    <xf numFmtId="0" fontId="0" fillId="0" borderId="0" xfId="0"/>
    <xf numFmtId="0" fontId="1" fillId="0" borderId="0" xfId="0" applyFont="1"/>
    <xf numFmtId="0" fontId="2" fillId="0" borderId="0" xfId="1"/>
    <xf numFmtId="0" fontId="0" fillId="0" borderId="0" xfId="0" applyAlignment="1">
      <alignment horizontal="left"/>
    </xf>
    <xf numFmtId="0" fontId="0" fillId="2" borderId="0" xfId="0" applyFill="1"/>
    <xf numFmtId="0" fontId="2" fillId="2" borderId="0" xfId="1" applyFill="1"/>
    <xf numFmtId="0" fontId="3" fillId="0" borderId="0" xfId="0" applyFont="1"/>
    <xf numFmtId="0" fontId="4" fillId="2" borderId="0" xfId="0" applyFont="1" applyFill="1"/>
    <xf numFmtId="0" fontId="4" fillId="0" borderId="0" xfId="0" applyFont="1"/>
    <xf numFmtId="0" fontId="0" fillId="0" borderId="0" xfId="0" applyFill="1"/>
    <xf numFmtId="0" fontId="4" fillId="0" borderId="0" xfId="0" applyFont="1" applyFill="1"/>
    <xf numFmtId="0" fontId="6" fillId="0" borderId="0" xfId="0" applyFont="1"/>
    <xf numFmtId="0" fontId="4" fillId="2" borderId="0" xfId="0" quotePrefix="1" applyFont="1" applyFill="1"/>
    <xf numFmtId="0" fontId="7" fillId="0" borderId="0" xfId="0" applyFont="1"/>
    <xf numFmtId="0" fontId="8" fillId="0" borderId="0" xfId="0" applyFont="1"/>
    <xf numFmtId="0" fontId="5" fillId="3" borderId="0" xfId="0" applyFont="1" applyFill="1"/>
    <xf numFmtId="0" fontId="5" fillId="0" borderId="0" xfId="0" applyFo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wiki.crosswire.org/OSIS_Book_Abbreviations" TargetMode="External"/></Relationships>
</file>

<file path=xl/worksheets/_rels/sheet2.xml.rels><?xml version="1.0" encoding="UTF-8" standalone="yes"?>
<Relationships xmlns="http://schemas.openxmlformats.org/package/2006/relationships"><Relationship Id="rId8" Type="http://schemas.openxmlformats.org/officeDocument/2006/relationships/hyperlink" Target="https://www.blueletterbible.org/study/misc/66books.cfm?utm_source=chatgpt.com" TargetMode="External"/><Relationship Id="rId13" Type="http://schemas.openxmlformats.org/officeDocument/2006/relationships/hyperlink" Target="https://www.blueletterbible.org/study/misc/66books.cfm?utm_source=chatgpt.com" TargetMode="External"/><Relationship Id="rId18" Type="http://schemas.openxmlformats.org/officeDocument/2006/relationships/hyperlink" Target="https://www.blueletterbible.org/study/misc/66books.cfm?utm_source=chatgpt.com" TargetMode="External"/><Relationship Id="rId3" Type="http://schemas.openxmlformats.org/officeDocument/2006/relationships/hyperlink" Target="https://www.blueletterbible.org/study/misc/66books.cfm?utm_source=chatgpt.com" TargetMode="External"/><Relationship Id="rId21" Type="http://schemas.openxmlformats.org/officeDocument/2006/relationships/hyperlink" Target="https://www.blueletterbible.org/study/misc/66books.cfm?utm_source=chatgpt.com" TargetMode="External"/><Relationship Id="rId7" Type="http://schemas.openxmlformats.org/officeDocument/2006/relationships/hyperlink" Target="https://www.blueletterbible.org/study/misc/66books.cfm?utm_source=chatgpt.com" TargetMode="External"/><Relationship Id="rId12" Type="http://schemas.openxmlformats.org/officeDocument/2006/relationships/hyperlink" Target="https://www.blueletterbible.org/study/misc/66books.cfm?utm_source=chatgpt.com" TargetMode="External"/><Relationship Id="rId17" Type="http://schemas.openxmlformats.org/officeDocument/2006/relationships/hyperlink" Target="https://www.blueletterbible.org/study/misc/66books.cfm?utm_source=chatgpt.com" TargetMode="External"/><Relationship Id="rId2" Type="http://schemas.openxmlformats.org/officeDocument/2006/relationships/hyperlink" Target="https://www.blueletterbible.org/study/misc/66books.cfm?utm_source=chatgpt.com" TargetMode="External"/><Relationship Id="rId16" Type="http://schemas.openxmlformats.org/officeDocument/2006/relationships/hyperlink" Target="https://www.blueletterbible.org/study/misc/66books.cfm?utm_source=chatgpt.com" TargetMode="External"/><Relationship Id="rId20" Type="http://schemas.openxmlformats.org/officeDocument/2006/relationships/hyperlink" Target="https://www.blueletterbible.org/study/misc/66books.cfm?utm_source=chatgpt.com" TargetMode="External"/><Relationship Id="rId1" Type="http://schemas.openxmlformats.org/officeDocument/2006/relationships/hyperlink" Target="https://www.blueletterbible.org/study/misc/66books.cfm?utm_source=chatgpt.com" TargetMode="External"/><Relationship Id="rId6" Type="http://schemas.openxmlformats.org/officeDocument/2006/relationships/hyperlink" Target="https://www.blueletterbible.org/study/misc/66books.cfm?utm_source=chatgpt.com" TargetMode="External"/><Relationship Id="rId11" Type="http://schemas.openxmlformats.org/officeDocument/2006/relationships/hyperlink" Target="https://www.blueletterbible.org/study/misc/66books.cfm?utm_source=chatgpt.com" TargetMode="External"/><Relationship Id="rId5" Type="http://schemas.openxmlformats.org/officeDocument/2006/relationships/hyperlink" Target="https://www.blueletterbible.org/study/misc/66books.cfm?utm_source=chatgpt.com" TargetMode="External"/><Relationship Id="rId15" Type="http://schemas.openxmlformats.org/officeDocument/2006/relationships/hyperlink" Target="https://www.blueletterbible.org/study/misc/66books.cfm?utm_source=chatgpt.com" TargetMode="External"/><Relationship Id="rId10" Type="http://schemas.openxmlformats.org/officeDocument/2006/relationships/hyperlink" Target="https://www.blueletterbible.org/study/misc/66books.cfm?utm_source=chatgpt.com" TargetMode="External"/><Relationship Id="rId19" Type="http://schemas.openxmlformats.org/officeDocument/2006/relationships/hyperlink" Target="https://www.blueletterbible.org/study/misc/66books.cfm?utm_source=chatgpt.com" TargetMode="External"/><Relationship Id="rId4" Type="http://schemas.openxmlformats.org/officeDocument/2006/relationships/hyperlink" Target="https://www.blueletterbible.org/study/misc/66books.cfm?utm_source=chatgpt.com" TargetMode="External"/><Relationship Id="rId9" Type="http://schemas.openxmlformats.org/officeDocument/2006/relationships/hyperlink" Target="https://www.blueletterbible.org/study/misc/66books.cfm?utm_source=chatgpt.com" TargetMode="External"/><Relationship Id="rId14" Type="http://schemas.openxmlformats.org/officeDocument/2006/relationships/hyperlink" Target="https://www.blueletterbible.org/study/misc/66books.cfm?utm_source=chatgpt.com" TargetMode="External"/><Relationship Id="rId22" Type="http://schemas.openxmlformats.org/officeDocument/2006/relationships/hyperlink" Target="https://www.blueletterbible.org/study/misc/66books.cfm?utm_source=chatgpt.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57BBF2-065A-6B4B-8450-DD145766C676}">
  <dimension ref="A1:N213"/>
  <sheetViews>
    <sheetView tabSelected="1" zoomScale="130" zoomScaleNormal="130" workbookViewId="0">
      <selection activeCell="F26" sqref="F26"/>
    </sheetView>
  </sheetViews>
  <sheetFormatPr baseColWidth="10" defaultRowHeight="16" x14ac:dyDescent="0.2"/>
  <cols>
    <col min="1" max="1" width="20.6640625" customWidth="1"/>
    <col min="2" max="2" width="19.83203125" customWidth="1"/>
    <col min="3" max="4" width="8.83203125" customWidth="1"/>
    <col min="5" max="5" width="26.83203125" customWidth="1"/>
    <col min="6" max="6" width="46.5" customWidth="1"/>
    <col min="7" max="10" width="10.33203125" style="8" customWidth="1"/>
    <col min="11" max="12" width="16.33203125" customWidth="1"/>
    <col min="13" max="13" width="10.5" customWidth="1"/>
    <col min="14" max="14" width="35.6640625" customWidth="1"/>
  </cols>
  <sheetData>
    <row r="1" spans="1:14" x14ac:dyDescent="0.2">
      <c r="A1" s="1" t="s">
        <v>408</v>
      </c>
      <c r="B1" s="1" t="s">
        <v>487</v>
      </c>
      <c r="C1" s="1" t="s">
        <v>489</v>
      </c>
      <c r="D1" s="1" t="s">
        <v>410</v>
      </c>
      <c r="E1" s="1" t="s">
        <v>451</v>
      </c>
      <c r="F1" s="1" t="s">
        <v>409</v>
      </c>
      <c r="G1" s="6" t="s">
        <v>488</v>
      </c>
      <c r="H1" s="6" t="s">
        <v>1008</v>
      </c>
      <c r="I1" s="13" t="s">
        <v>597</v>
      </c>
      <c r="J1" s="13" t="s">
        <v>598</v>
      </c>
      <c r="K1" s="1" t="s">
        <v>480</v>
      </c>
      <c r="L1" s="1" t="s">
        <v>484</v>
      </c>
      <c r="M1" s="1" t="s">
        <v>1093</v>
      </c>
      <c r="N1" s="1" t="s">
        <v>596</v>
      </c>
    </row>
    <row r="2" spans="1:14" s="4" customFormat="1" x14ac:dyDescent="0.2">
      <c r="A2" s="4" t="s">
        <v>1</v>
      </c>
      <c r="B2" s="4" t="s">
        <v>495</v>
      </c>
      <c r="C2" s="4" t="s">
        <v>0</v>
      </c>
      <c r="D2" s="4" t="s">
        <v>2</v>
      </c>
      <c r="E2" s="4" t="s">
        <v>454</v>
      </c>
      <c r="F2" s="4" t="s">
        <v>1001</v>
      </c>
      <c r="G2" s="7" t="s">
        <v>491</v>
      </c>
      <c r="H2" s="7" t="s">
        <v>1009</v>
      </c>
      <c r="I2" s="7"/>
      <c r="J2" s="7"/>
      <c r="K2" s="4" t="s">
        <v>481</v>
      </c>
      <c r="L2" s="4" t="s">
        <v>485</v>
      </c>
      <c r="M2" s="4" t="str">
        <f>"true"</f>
        <v>true</v>
      </c>
      <c r="N2" s="4" t="str">
        <f>"{ ""workOsisID"": """&amp;G2&amp;""", ""bookName"": """&amp;A2&amp;""", ""bookSubtitle"": """&amp;B2&amp;""", ""bookOsisID"": """&amp;C2&amp;""", ""paratext"": "&amp;IF(D2="","null",""""&amp;D2&amp;"""")&amp;", ""groups"": "&amp;E2&amp;", ""aliases"": "&amp;F2&amp;", ""chapterLabel"": """&amp;K2&amp;""", ""verseLabel"": """&amp;L2&amp;""", ""authors"": "&amp;H2&amp;", ""dateEarliest"": """&amp;I2&amp;""", ""dateLatest"": """&amp;J2&amp;""", ""hasData"": "&amp;M2&amp;" },"</f>
        <v>{ "workOsisID": "KJV", "bookName": "Genesis", "bookSubtitle": "The First Book of Moses called Genesis", "bookOsisID": "Gen", "paratext": "GEN", "groups": ["Old Testament", "Bible", "Pentatuech", "Torah"], "aliases": ["Ge","Gn","The First Book of Moses called Genesis"], "chapterLabel": "Chapter", "verseLabel": "Verse", "authors": ["Moses"], "dateEarliest": "", "dateLatest": "", "hasData": true },</v>
      </c>
    </row>
    <row r="3" spans="1:14" s="4" customFormat="1" x14ac:dyDescent="0.2">
      <c r="A3" s="4" t="s">
        <v>4</v>
      </c>
      <c r="B3" s="4" t="s">
        <v>496</v>
      </c>
      <c r="C3" s="4" t="s">
        <v>3</v>
      </c>
      <c r="D3" s="4" t="s">
        <v>5</v>
      </c>
      <c r="E3" s="4" t="s">
        <v>454</v>
      </c>
      <c r="F3" s="4" t="s">
        <v>1000</v>
      </c>
      <c r="G3" s="7" t="s">
        <v>491</v>
      </c>
      <c r="H3" s="7" t="s">
        <v>1009</v>
      </c>
      <c r="I3" s="7"/>
      <c r="J3" s="7"/>
      <c r="K3" s="4" t="s">
        <v>481</v>
      </c>
      <c r="L3" s="4" t="s">
        <v>485</v>
      </c>
      <c r="M3" s="4" t="str">
        <f t="shared" ref="M3:M66" si="0">"true"</f>
        <v>true</v>
      </c>
      <c r="N3" s="4" t="str">
        <f>"{ ""workOsisID"": """&amp;G3&amp;""", ""bookName"": """&amp;A3&amp;""", ""bookSubtitle"": """&amp;B3&amp;""", ""bookOsisID"": """&amp;C3&amp;""", ""paratext"": "&amp;IF(D3="","null",""""&amp;D3&amp;"""")&amp;", ""groups"": "&amp;E3&amp;", ""aliases"": "&amp;F3&amp;", ""chapterLabel"": """&amp;K3&amp;""", ""verseLabel"": """&amp;L3&amp;""", ""authors"": "&amp;H3&amp;", ""dateEarliest"": """&amp;I3&amp;""", ""dateLatest"": """&amp;J3&amp;""", ""hasData"": "&amp;M3&amp;" },"</f>
        <v>{ "workOsisID": "KJV", "bookName": "Exodus", "bookSubtitle": "The Second Book of Moses, called Exodus", "bookOsisID": "Exod", "paratext": "EXO", "groups": ["Old Testament", "Bible", "Pentatuech", "Torah"], "aliases": ["Ex","The Second Book of Moses called Exodus"], "chapterLabel": "Chapter", "verseLabel": "Verse", "authors": ["Moses"], "dateEarliest": "", "dateLatest": "", "hasData": true },</v>
      </c>
    </row>
    <row r="4" spans="1:14" s="4" customFormat="1" x14ac:dyDescent="0.2">
      <c r="A4" s="4" t="s">
        <v>7</v>
      </c>
      <c r="B4" s="4" t="s">
        <v>497</v>
      </c>
      <c r="C4" s="4" t="s">
        <v>6</v>
      </c>
      <c r="D4" s="4" t="s">
        <v>8</v>
      </c>
      <c r="E4" s="4" t="s">
        <v>454</v>
      </c>
      <c r="F4" s="4" t="s">
        <v>1002</v>
      </c>
      <c r="G4" s="7" t="s">
        <v>491</v>
      </c>
      <c r="H4" s="7" t="s">
        <v>1009</v>
      </c>
      <c r="I4" s="7"/>
      <c r="J4" s="7"/>
      <c r="K4" s="4" t="s">
        <v>481</v>
      </c>
      <c r="L4" s="4" t="s">
        <v>485</v>
      </c>
      <c r="M4" s="4" t="str">
        <f t="shared" si="0"/>
        <v>true</v>
      </c>
      <c r="N4" s="4" t="str">
        <f>"{ ""workOsisID"": """&amp;G4&amp;""", ""bookName"": """&amp;A4&amp;""", ""bookSubtitle"": """&amp;B4&amp;""", ""bookOsisID"": """&amp;C4&amp;""", ""paratext"": "&amp;IF(D4="","null",""""&amp;D4&amp;"""")&amp;", ""groups"": "&amp;E4&amp;", ""aliases"": "&amp;F4&amp;", ""chapterLabel"": """&amp;K4&amp;""", ""verseLabel"": """&amp;L4&amp;""", ""authors"": "&amp;H4&amp;", ""dateEarliest"": """&amp;I4&amp;""", ""dateLatest"": """&amp;J4&amp;""", ""hasData"": "&amp;M4&amp;" },"</f>
        <v>{ "workOsisID": "KJV", "bookName": "Leviticus", "bookSubtitle": "The Third Book of Moses, called Leviticus", "bookOsisID": "Lev", "paratext": "LEV", "groups": ["Old Testament", "Bible", "Pentatuech", "Torah"], "aliases": ["Le","The Third Book of Moses called Leviticus"], "chapterLabel": "Chapter", "verseLabel": "Verse", "authors": ["Moses"], "dateEarliest": "", "dateLatest": "", "hasData": true },</v>
      </c>
    </row>
    <row r="5" spans="1:14" s="4" customFormat="1" x14ac:dyDescent="0.2">
      <c r="A5" s="4" t="s">
        <v>10</v>
      </c>
      <c r="B5" s="4" t="s">
        <v>498</v>
      </c>
      <c r="C5" s="4" t="s">
        <v>9</v>
      </c>
      <c r="D5" s="4" t="s">
        <v>11</v>
      </c>
      <c r="E5" s="4" t="s">
        <v>454</v>
      </c>
      <c r="F5" s="4" t="s">
        <v>1003</v>
      </c>
      <c r="G5" s="7" t="s">
        <v>491</v>
      </c>
      <c r="H5" s="7" t="s">
        <v>1009</v>
      </c>
      <c r="I5" s="7"/>
      <c r="J5" s="7"/>
      <c r="K5" s="4" t="s">
        <v>481</v>
      </c>
      <c r="L5" s="4" t="s">
        <v>485</v>
      </c>
      <c r="M5" s="4" t="str">
        <f t="shared" si="0"/>
        <v>true</v>
      </c>
      <c r="N5" s="4" t="str">
        <f>"{ ""workOsisID"": """&amp;G5&amp;""", ""bookName"": """&amp;A5&amp;""", ""bookSubtitle"": """&amp;B5&amp;""", ""bookOsisID"": """&amp;C5&amp;""", ""paratext"": "&amp;IF(D5="","null",""""&amp;D5&amp;"""")&amp;", ""groups"": "&amp;E5&amp;", ""aliases"": "&amp;F5&amp;", ""chapterLabel"": """&amp;K5&amp;""", ""verseLabel"": """&amp;L5&amp;""", ""authors"": "&amp;H5&amp;", ""dateEarliest"": """&amp;I5&amp;""", ""dateLatest"": """&amp;J5&amp;""", ""hasData"": "&amp;M5&amp;" },"</f>
        <v>{ "workOsisID": "KJV", "bookName": "Numbers", "bookSubtitle": "The Fourth Book of Moses, called Numbers", "bookOsisID": "Num", "paratext": "NUM", "groups": ["Old Testament", "Bible", "Pentatuech", "Torah"], "aliases": ["Nu","Nm","Nb","The Fourth Book of Moses called Numbers"], "chapterLabel": "Chapter", "verseLabel": "Verse", "authors": ["Moses"], "dateEarliest": "", "dateLatest": "", "hasData": true },</v>
      </c>
    </row>
    <row r="6" spans="1:14" s="4" customFormat="1" x14ac:dyDescent="0.2">
      <c r="A6" s="4" t="s">
        <v>13</v>
      </c>
      <c r="B6" s="4" t="s">
        <v>499</v>
      </c>
      <c r="C6" s="4" t="s">
        <v>12</v>
      </c>
      <c r="D6" s="4" t="s">
        <v>14</v>
      </c>
      <c r="E6" s="4" t="s">
        <v>455</v>
      </c>
      <c r="F6" s="4" t="s">
        <v>1004</v>
      </c>
      <c r="G6" s="7" t="s">
        <v>491</v>
      </c>
      <c r="H6" s="7" t="s">
        <v>1009</v>
      </c>
      <c r="I6" s="7"/>
      <c r="J6" s="7"/>
      <c r="K6" s="4" t="s">
        <v>481</v>
      </c>
      <c r="L6" s="4" t="s">
        <v>485</v>
      </c>
      <c r="M6" s="4" t="str">
        <f t="shared" si="0"/>
        <v>true</v>
      </c>
      <c r="N6" s="4" t="str">
        <f>"{ ""workOsisID"": """&amp;G6&amp;""", ""bookName"": """&amp;A6&amp;""", ""bookSubtitle"": """&amp;B6&amp;""", ""bookOsisID"": """&amp;C6&amp;""", ""paratext"": "&amp;IF(D6="","null",""""&amp;D6&amp;"""")&amp;", ""groups"": "&amp;E6&amp;", ""aliases"": "&amp;F6&amp;", ""chapterLabel"": """&amp;K6&amp;""", ""verseLabel"": """&amp;L6&amp;""", ""authors"": "&amp;H6&amp;", ""dateEarliest"": """&amp;I6&amp;""", ""dateLatest"": """&amp;J6&amp;""", ""hasData"": "&amp;M6&amp;" },"</f>
        <v>{ "workOsisID": "KJV", "bookName": "Deuteronomy", "bookSubtitle": "The Fifth Book of Moses, called Deuteronomy", "bookOsisID": "Deut", "paratext": "DEU", "groups": ["Old Testament", "Bible"], "aliases": ["Deut","Dt","Du","The Fifth Book of Moses called Deuteronomy"], "chapterLabel": "Chapter", "verseLabel": "Verse", "authors": ["Moses"], "dateEarliest": "", "dateLatest": "", "hasData": true },</v>
      </c>
    </row>
    <row r="7" spans="1:14" s="4" customFormat="1" x14ac:dyDescent="0.2">
      <c r="A7" s="4" t="s">
        <v>16</v>
      </c>
      <c r="B7" s="4" t="str">
        <f>"The Book of "&amp;A7</f>
        <v>The Book of Joshua</v>
      </c>
      <c r="C7" s="4" t="s">
        <v>15</v>
      </c>
      <c r="D7" s="4" t="s">
        <v>17</v>
      </c>
      <c r="E7" s="4" t="s">
        <v>455</v>
      </c>
      <c r="F7" s="4" t="s">
        <v>1146</v>
      </c>
      <c r="G7" s="7" t="s">
        <v>491</v>
      </c>
      <c r="H7" s="7" t="s">
        <v>1094</v>
      </c>
      <c r="I7" s="7"/>
      <c r="J7" s="7"/>
      <c r="K7" s="4" t="s">
        <v>481</v>
      </c>
      <c r="L7" s="4" t="s">
        <v>485</v>
      </c>
      <c r="M7" s="4" t="str">
        <f t="shared" si="0"/>
        <v>true</v>
      </c>
      <c r="N7" s="4" t="str">
        <f>"{ ""workOsisID"": """&amp;G7&amp;""", ""bookName"": """&amp;A7&amp;""", ""bookSubtitle"": """&amp;B7&amp;""", ""bookOsisID"": """&amp;C7&amp;""", ""paratext"": "&amp;IF(D7="","null",""""&amp;D7&amp;"""")&amp;", ""groups"": "&amp;E7&amp;", ""aliases"": "&amp;F7&amp;", ""chapterLabel"": """&amp;K7&amp;""", ""verseLabel"": """&amp;L7&amp;""", ""authors"": "&amp;H7&amp;", ""dateEarliest"": """&amp;I7&amp;""", ""dateLatest"": """&amp;J7&amp;""", ""hasData"": "&amp;M7&amp;" },"</f>
        <v>{ "workOsisID": "KJV", "bookName": "Joshua", "bookSubtitle": "The Book of Joshua", "bookOsisID": "Josh", "paratext": "JOS", "groups": ["Old Testament", "Bible"], "aliases": ["Josh"], "chapterLabel": "Chapter", "verseLabel": "Verse", "authors": [], "dateEarliest": "", "dateLatest": "", "hasData": true },</v>
      </c>
    </row>
    <row r="8" spans="1:14" s="4" customFormat="1" x14ac:dyDescent="0.2">
      <c r="A8" s="4" t="s">
        <v>19</v>
      </c>
      <c r="B8" s="4" t="str">
        <f t="shared" ref="B8:B40" si="1">"The Book of "&amp;A8</f>
        <v>The Book of Judges</v>
      </c>
      <c r="C8" s="4" t="s">
        <v>18</v>
      </c>
      <c r="D8" s="4" t="s">
        <v>20</v>
      </c>
      <c r="E8" s="4" t="s">
        <v>455</v>
      </c>
      <c r="F8" s="4" t="s">
        <v>1005</v>
      </c>
      <c r="G8" s="7" t="s">
        <v>491</v>
      </c>
      <c r="H8" s="7" t="s">
        <v>1094</v>
      </c>
      <c r="I8" s="7"/>
      <c r="J8" s="7"/>
      <c r="K8" s="4" t="s">
        <v>481</v>
      </c>
      <c r="L8" s="4" t="s">
        <v>485</v>
      </c>
      <c r="M8" s="4" t="str">
        <f t="shared" si="0"/>
        <v>true</v>
      </c>
      <c r="N8" s="4" t="str">
        <f>"{ ""workOsisID"": """&amp;G8&amp;""", ""bookName"": """&amp;A8&amp;""", ""bookSubtitle"": """&amp;B8&amp;""", ""bookOsisID"": """&amp;C8&amp;""", ""paratext"": "&amp;IF(D8="","null",""""&amp;D8&amp;"""")&amp;", ""groups"": "&amp;E8&amp;", ""aliases"": "&amp;F8&amp;", ""chapterLabel"": """&amp;K8&amp;""", ""verseLabel"": """&amp;L8&amp;""", ""authors"": "&amp;H8&amp;", ""dateEarliest"": """&amp;I8&amp;""", ""dateLatest"": """&amp;J8&amp;""", ""hasData"": "&amp;M8&amp;" },"</f>
        <v>{ "workOsisID": "KJV", "bookName": "Judges", "bookSubtitle": "The Book of Judges", "bookOsisID": "Judg", "paratext": "JDG", "groups": ["Old Testament", "Bible"], "aliases": ["Judg","Jdg","Jdgs","Jg"], "chapterLabel": "Chapter", "verseLabel": "Verse", "authors": [], "dateEarliest": "", "dateLatest": "", "hasData": true },</v>
      </c>
    </row>
    <row r="9" spans="1:14" s="4" customFormat="1" x14ac:dyDescent="0.2">
      <c r="A9" s="4" t="s">
        <v>21</v>
      </c>
      <c r="B9" s="4" t="str">
        <f t="shared" si="1"/>
        <v>The Book of Ruth</v>
      </c>
      <c r="C9" s="4" t="s">
        <v>21</v>
      </c>
      <c r="D9" s="4" t="s">
        <v>22</v>
      </c>
      <c r="E9" s="4" t="s">
        <v>455</v>
      </c>
      <c r="F9" s="4" t="s">
        <v>1006</v>
      </c>
      <c r="G9" s="7" t="s">
        <v>491</v>
      </c>
      <c r="H9" s="7" t="s">
        <v>1094</v>
      </c>
      <c r="I9" s="7"/>
      <c r="J9" s="7"/>
      <c r="K9" s="4" t="s">
        <v>481</v>
      </c>
      <c r="L9" s="4" t="s">
        <v>485</v>
      </c>
      <c r="M9" s="4" t="str">
        <f t="shared" si="0"/>
        <v>true</v>
      </c>
      <c r="N9" s="4" t="str">
        <f>"{ ""workOsisID"": """&amp;G9&amp;""", ""bookName"": """&amp;A9&amp;""", ""bookSubtitle"": """&amp;B9&amp;""", ""bookOsisID"": """&amp;C9&amp;""", ""paratext"": "&amp;IF(D9="","null",""""&amp;D9&amp;"""")&amp;", ""groups"": "&amp;E9&amp;", ""aliases"": "&amp;F9&amp;", ""chapterLabel"": """&amp;K9&amp;""", ""verseLabel"": """&amp;L9&amp;""", ""authors"": "&amp;H9&amp;", ""dateEarliest"": """&amp;I9&amp;""", ""dateLatest"": """&amp;J9&amp;""", ""hasData"": "&amp;M9&amp;" },"</f>
        <v>{ "workOsisID": "KJV", "bookName": "Ruth", "bookSubtitle": "The Book of Ruth", "bookOsisID": "Ruth", "paratext": "RUT", "groups": ["Old Testament", "Bible"], "aliases": ["Rth","Ru"], "chapterLabel": "Chapter", "verseLabel": "Verse", "authors": [], "dateEarliest": "", "dateLatest": "", "hasData": true },</v>
      </c>
    </row>
    <row r="10" spans="1:14" s="4" customFormat="1" x14ac:dyDescent="0.2">
      <c r="A10" s="4" t="s">
        <v>24</v>
      </c>
      <c r="B10" s="4" t="str">
        <f t="shared" si="1"/>
        <v>The Book of 1 Samuel</v>
      </c>
      <c r="C10" s="4" t="s">
        <v>23</v>
      </c>
      <c r="D10" s="4" t="s">
        <v>25</v>
      </c>
      <c r="E10" s="4" t="s">
        <v>455</v>
      </c>
      <c r="F10" s="15" t="s">
        <v>1166</v>
      </c>
      <c r="G10" s="7" t="s">
        <v>491</v>
      </c>
      <c r="H10" s="7" t="s">
        <v>1094</v>
      </c>
      <c r="I10" s="7"/>
      <c r="J10" s="7"/>
      <c r="K10" s="4" t="s">
        <v>481</v>
      </c>
      <c r="L10" s="4" t="s">
        <v>485</v>
      </c>
      <c r="M10" s="4" t="str">
        <f t="shared" si="0"/>
        <v>true</v>
      </c>
      <c r="N10" s="4" t="str">
        <f>"{ ""workOsisID"": """&amp;G10&amp;""", ""bookName"": """&amp;A10&amp;""", ""bookSubtitle"": """&amp;B10&amp;""", ""bookOsisID"": """&amp;C10&amp;""", ""paratext"": "&amp;IF(D10="","null",""""&amp;D10&amp;"""")&amp;", ""groups"": "&amp;E10&amp;", ""aliases"": "&amp;F10&amp;", ""chapterLabel"": """&amp;K10&amp;""", ""verseLabel"": """&amp;L10&amp;""", ""authors"": "&amp;H10&amp;", ""dateEarliest"": """&amp;I10&amp;""", ""dateLatest"": """&amp;J10&amp;""", ""hasData"": "&amp;M10&amp;" },"</f>
        <v>{ "workOsisID": "KJV", "bookName": "1 Samuel", "bookSubtitle": "The Book of 1 Samuel", "bookOsisID": "1Sam", "paratext": "1SA", "groups": ["Old Testament", "Bible"], "aliases": ["1 Sam","1 Sm","1 Sa","1 S","I Sam","I Sa","1Sam","1Sa","1S","1st Samuel","1st Sam","First Samuel","First Sam"], "chapterLabel": "Chapter", "verseLabel": "Verse", "authors": [], "dateEarliest": "", "dateLatest": "", "hasData": true },</v>
      </c>
    </row>
    <row r="11" spans="1:14" s="4" customFormat="1" x14ac:dyDescent="0.2">
      <c r="A11" s="4" t="s">
        <v>27</v>
      </c>
      <c r="B11" s="4" t="str">
        <f t="shared" si="1"/>
        <v>The Book of 2 Samuel</v>
      </c>
      <c r="C11" s="4" t="s">
        <v>26</v>
      </c>
      <c r="D11" s="4" t="s">
        <v>28</v>
      </c>
      <c r="E11" s="4" t="s">
        <v>455</v>
      </c>
      <c r="F11" s="15" t="s">
        <v>1167</v>
      </c>
      <c r="G11" s="7" t="s">
        <v>491</v>
      </c>
      <c r="H11" s="7" t="s">
        <v>1094</v>
      </c>
      <c r="I11" s="7"/>
      <c r="J11" s="7"/>
      <c r="K11" s="4" t="s">
        <v>481</v>
      </c>
      <c r="L11" s="4" t="s">
        <v>485</v>
      </c>
      <c r="M11" s="4" t="str">
        <f t="shared" si="0"/>
        <v>true</v>
      </c>
      <c r="N11" s="4" t="str">
        <f>"{ ""workOsisID"": """&amp;G11&amp;""", ""bookName"": """&amp;A11&amp;""", ""bookSubtitle"": """&amp;B11&amp;""", ""bookOsisID"": """&amp;C11&amp;""", ""paratext"": "&amp;IF(D11="","null",""""&amp;D11&amp;"""")&amp;", ""groups"": "&amp;E11&amp;", ""aliases"": "&amp;F11&amp;", ""chapterLabel"": """&amp;K11&amp;""", ""verseLabel"": """&amp;L11&amp;""", ""authors"": "&amp;H11&amp;", ""dateEarliest"": """&amp;I11&amp;""", ""dateLatest"": """&amp;J11&amp;""", ""hasData"": "&amp;M11&amp;" },"</f>
        <v>{ "workOsisID": "KJV", "bookName": "2 Samuel", "bookSubtitle": "The Book of 2 Samuel", "bookOsisID": "2Sam", "paratext": "2SA", "groups": ["Old Testament", "Bible"], "aliases": ["2 Sam","2 Sm","2 Sa","2 S","II Sam","II Sa","2Sam","2Sa","2S","2nd Samuel","2nd Sam","Second Samuel","Second Sam"], "chapterLabel": "Chapter", "verseLabel": "Verse", "authors": [], "dateEarliest": "", "dateLatest": "", "hasData": true },</v>
      </c>
    </row>
    <row r="12" spans="1:14" s="4" customFormat="1" x14ac:dyDescent="0.2">
      <c r="A12" s="4" t="s">
        <v>30</v>
      </c>
      <c r="B12" s="4" t="s">
        <v>567</v>
      </c>
      <c r="C12" s="4" t="s">
        <v>29</v>
      </c>
      <c r="D12" s="4" t="s">
        <v>31</v>
      </c>
      <c r="E12" s="4" t="s">
        <v>456</v>
      </c>
      <c r="F12" s="15" t="s">
        <v>1168</v>
      </c>
      <c r="G12" s="7" t="s">
        <v>491</v>
      </c>
      <c r="H12" s="7" t="s">
        <v>1094</v>
      </c>
      <c r="I12" s="7"/>
      <c r="J12" s="7"/>
      <c r="K12" s="4" t="s">
        <v>481</v>
      </c>
      <c r="L12" s="4" t="s">
        <v>485</v>
      </c>
      <c r="M12" s="4" t="str">
        <f t="shared" si="0"/>
        <v>true</v>
      </c>
      <c r="N12" s="4" t="str">
        <f>"{ ""workOsisID"": """&amp;G12&amp;""", ""bookName"": """&amp;A12&amp;""", ""bookSubtitle"": """&amp;B12&amp;""", ""bookOsisID"": """&amp;C12&amp;""", ""paratext"": "&amp;IF(D12="","null",""""&amp;D12&amp;"""")&amp;", ""groups"": "&amp;E12&amp;", ""aliases"": "&amp;F12&amp;", ""chapterLabel"": """&amp;K12&amp;""", ""verseLabel"": """&amp;L12&amp;""", ""authors"": "&amp;H12&amp;", ""dateEarliest"": """&amp;I12&amp;""", ""dateLatest"": """&amp;J12&amp;""", ""hasData"": "&amp;M12&amp;" },"</f>
        <v>{ "workOsisID": "KJV", "bookName": "1 Kings", "bookSubtitle": "The First Book of Kings", "bookOsisID": "1Kgs", "paratext": "1KI", "groups": ["Old Testament", "Bible", "Kings"], "aliases": ["1 Kgs","1 Ki","1Kin","1K","I Kgs","I Ki","1st Kings","1st Kgs","First Kings","First Kgs"], "chapterLabel": "Chapter", "verseLabel": "Verse", "authors": [], "dateEarliest": "", "dateLatest": "", "hasData": true },</v>
      </c>
    </row>
    <row r="13" spans="1:14" s="4" customFormat="1" x14ac:dyDescent="0.2">
      <c r="A13" s="4" t="s">
        <v>33</v>
      </c>
      <c r="B13" s="4" t="s">
        <v>568</v>
      </c>
      <c r="C13" s="4" t="s">
        <v>32</v>
      </c>
      <c r="D13" s="4" t="s">
        <v>34</v>
      </c>
      <c r="E13" s="4" t="s">
        <v>456</v>
      </c>
      <c r="F13" s="15" t="s">
        <v>1169</v>
      </c>
      <c r="G13" s="7" t="s">
        <v>491</v>
      </c>
      <c r="H13" s="7" t="s">
        <v>1094</v>
      </c>
      <c r="I13" s="7"/>
      <c r="J13" s="7"/>
      <c r="K13" s="4" t="s">
        <v>481</v>
      </c>
      <c r="L13" s="4" t="s">
        <v>485</v>
      </c>
      <c r="M13" s="4" t="str">
        <f t="shared" si="0"/>
        <v>true</v>
      </c>
      <c r="N13" s="4" t="str">
        <f>"{ ""workOsisID"": """&amp;G13&amp;""", ""bookName"": """&amp;A13&amp;""", ""bookSubtitle"": """&amp;B13&amp;""", ""bookOsisID"": """&amp;C13&amp;""", ""paratext"": "&amp;IF(D13="","null",""""&amp;D13&amp;"""")&amp;", ""groups"": "&amp;E13&amp;", ""aliases"": "&amp;F13&amp;", ""chapterLabel"": """&amp;K13&amp;""", ""verseLabel"": """&amp;L13&amp;""", ""authors"": "&amp;H13&amp;", ""dateEarliest"": """&amp;I13&amp;""", ""dateLatest"": """&amp;J13&amp;""", ""hasData"": "&amp;M13&amp;" },"</f>
        <v>{ "workOsisID": "KJV", "bookName": "2 Kings", "bookSubtitle": "The Second Book of Kings", "bookOsisID": "2Kgs", "paratext": "2KI", "groups": ["Old Testament", "Bible", "Kings"], "aliases": ["2 Kgs","2 Ki","2Kin","2K","II Kgs","II Ki","2nd Kings","2nd Kgs","Second Kings","Second Kgs"], "chapterLabel": "Chapter", "verseLabel": "Verse", "authors": [], "dateEarliest": "", "dateLatest": "", "hasData": true },</v>
      </c>
    </row>
    <row r="14" spans="1:14" s="4" customFormat="1" x14ac:dyDescent="0.2">
      <c r="A14" s="4" t="s">
        <v>36</v>
      </c>
      <c r="B14" s="4" t="s">
        <v>569</v>
      </c>
      <c r="C14" s="4" t="s">
        <v>35</v>
      </c>
      <c r="D14" s="4" t="s">
        <v>37</v>
      </c>
      <c r="E14" s="4" t="s">
        <v>457</v>
      </c>
      <c r="F14" s="15" t="s">
        <v>1170</v>
      </c>
      <c r="G14" s="7" t="s">
        <v>491</v>
      </c>
      <c r="H14" s="7" t="s">
        <v>1094</v>
      </c>
      <c r="I14" s="7"/>
      <c r="J14" s="7"/>
      <c r="K14" s="4" t="s">
        <v>481</v>
      </c>
      <c r="L14" s="4" t="s">
        <v>485</v>
      </c>
      <c r="M14" s="4" t="str">
        <f t="shared" si="0"/>
        <v>true</v>
      </c>
      <c r="N14" s="4" t="str">
        <f>"{ ""workOsisID"": """&amp;G14&amp;""", ""bookName"": """&amp;A14&amp;""", ""bookSubtitle"": """&amp;B14&amp;""", ""bookOsisID"": """&amp;C14&amp;""", ""paratext"": "&amp;IF(D14="","null",""""&amp;D14&amp;"""")&amp;", ""groups"": "&amp;E14&amp;", ""aliases"": "&amp;F14&amp;", ""chapterLabel"": """&amp;K14&amp;""", ""verseLabel"": """&amp;L14&amp;""", ""authors"": "&amp;H14&amp;", ""dateEarliest"": """&amp;I14&amp;""", ""dateLatest"": """&amp;J14&amp;""", ""hasData"": "&amp;M14&amp;" },"</f>
        <v>{ "workOsisID": "KJV", "bookName": "1 Chronicles", "bookSubtitle": "The First Book of Chronicles", "bookOsisID": "1Chr", "paratext": "1CH", "groups": ["Old Testament", "Bible", "Persian Period"], "aliases": ["1 Chron","1 Chr","1 Ch","1Chron","1Chr","1Ch","I Chron","I Chr","I Ch","1st Chronicles","1st Chron","First Chronicles","First Chron"], "chapterLabel": "Chapter", "verseLabel": "Verse", "authors": [], "dateEarliest": "", "dateLatest": "", "hasData": true },</v>
      </c>
    </row>
    <row r="15" spans="1:14" s="4" customFormat="1" x14ac:dyDescent="0.2">
      <c r="A15" s="4" t="s">
        <v>39</v>
      </c>
      <c r="B15" s="4" t="s">
        <v>570</v>
      </c>
      <c r="C15" s="4" t="s">
        <v>38</v>
      </c>
      <c r="D15" s="4" t="s">
        <v>40</v>
      </c>
      <c r="E15" s="4" t="s">
        <v>457</v>
      </c>
      <c r="F15" s="15" t="s">
        <v>1171</v>
      </c>
      <c r="G15" s="7" t="s">
        <v>491</v>
      </c>
      <c r="H15" s="7" t="s">
        <v>1094</v>
      </c>
      <c r="I15" s="7"/>
      <c r="J15" s="7"/>
      <c r="K15" s="4" t="s">
        <v>481</v>
      </c>
      <c r="L15" s="4" t="s">
        <v>485</v>
      </c>
      <c r="M15" s="4" t="str">
        <f t="shared" si="0"/>
        <v>true</v>
      </c>
      <c r="N15" s="4" t="str">
        <f>"{ ""workOsisID"": """&amp;G15&amp;""", ""bookName"": """&amp;A15&amp;""", ""bookSubtitle"": """&amp;B15&amp;""", ""bookOsisID"": """&amp;C15&amp;""", ""paratext"": "&amp;IF(D15="","null",""""&amp;D15&amp;"""")&amp;", ""groups"": "&amp;E15&amp;", ""aliases"": "&amp;F15&amp;", ""chapterLabel"": """&amp;K15&amp;""", ""verseLabel"": """&amp;L15&amp;""", ""authors"": "&amp;H15&amp;", ""dateEarliest"": """&amp;I15&amp;""", ""dateLatest"": """&amp;J15&amp;""", ""hasData"": "&amp;M15&amp;" },"</f>
        <v>{ "workOsisID": "KJV", "bookName": "2 Chronicles", "bookSubtitle": "The Second Book of Chronicals", "bookOsisID": "2Chr", "paratext": "2CH", "groups": ["Old Testament", "Bible", "Persian Period"], "aliases": ["2 Chron","2 Chr","2 Ch","2Chron","2Chr","2Ch","II Chron","II Chr","II Ch","2nd Chronicles","2nd Chron","Second Chronicles","Second Chron"], "chapterLabel": "Chapter", "verseLabel": "Verse", "authors": [], "dateEarliest": "", "dateLatest": "", "hasData": true },</v>
      </c>
    </row>
    <row r="16" spans="1:14" s="4" customFormat="1" x14ac:dyDescent="0.2">
      <c r="A16" s="4" t="s">
        <v>41</v>
      </c>
      <c r="B16" s="4" t="str">
        <f t="shared" si="1"/>
        <v>The Book of Ezra</v>
      </c>
      <c r="C16" s="4" t="s">
        <v>41</v>
      </c>
      <c r="D16" s="4" t="s">
        <v>42</v>
      </c>
      <c r="E16" s="4" t="s">
        <v>457</v>
      </c>
      <c r="F16" s="4" t="s">
        <v>1164</v>
      </c>
      <c r="G16" s="7" t="s">
        <v>491</v>
      </c>
      <c r="H16" s="7" t="s">
        <v>1094</v>
      </c>
      <c r="I16" s="7"/>
      <c r="J16" s="7"/>
      <c r="K16" s="4" t="s">
        <v>481</v>
      </c>
      <c r="L16" s="4" t="s">
        <v>485</v>
      </c>
      <c r="M16" s="4" t="str">
        <f t="shared" si="0"/>
        <v>true</v>
      </c>
      <c r="N16" s="4" t="str">
        <f>"{ ""workOsisID"": """&amp;G16&amp;""", ""bookName"": """&amp;A16&amp;""", ""bookSubtitle"": """&amp;B16&amp;""", ""bookOsisID"": """&amp;C16&amp;""", ""paratext"": "&amp;IF(D16="","null",""""&amp;D16&amp;"""")&amp;", ""groups"": "&amp;E16&amp;", ""aliases"": "&amp;F16&amp;", ""chapterLabel"": """&amp;K16&amp;""", ""verseLabel"": """&amp;L16&amp;""", ""authors"": "&amp;H16&amp;", ""dateEarliest"": """&amp;I16&amp;""", ""dateLatest"": """&amp;J16&amp;""", ""hasData"": "&amp;M16&amp;" },"</f>
        <v>{ "workOsisID": "KJV", "bookName": "Ezra", "bookSubtitle": "The Book of Ezra", "bookOsisID": "Ezra", "paratext": "EZR", "groups": ["Old Testament", "Bible", "Persian Period"], "aliases": ["Ez"], "chapterLabel": "Chapter", "verseLabel": "Verse", "authors": [], "dateEarliest": "", "dateLatest": "", "hasData": true },</v>
      </c>
    </row>
    <row r="17" spans="1:14" s="4" customFormat="1" x14ac:dyDescent="0.2">
      <c r="A17" s="4" t="s">
        <v>44</v>
      </c>
      <c r="B17" s="4" t="str">
        <f t="shared" si="1"/>
        <v>The Book of Nehemiah</v>
      </c>
      <c r="C17" s="4" t="s">
        <v>43</v>
      </c>
      <c r="D17" s="4" t="s">
        <v>45</v>
      </c>
      <c r="E17" s="4" t="s">
        <v>457</v>
      </c>
      <c r="F17" s="15" t="s">
        <v>1172</v>
      </c>
      <c r="G17" s="7" t="s">
        <v>491</v>
      </c>
      <c r="H17" s="7" t="s">
        <v>1094</v>
      </c>
      <c r="I17" s="7"/>
      <c r="J17" s="7"/>
      <c r="K17" s="4" t="s">
        <v>481</v>
      </c>
      <c r="L17" s="4" t="s">
        <v>485</v>
      </c>
      <c r="M17" s="4" t="str">
        <f t="shared" si="0"/>
        <v>true</v>
      </c>
      <c r="N17" s="4" t="str">
        <f>"{ ""workOsisID"": """&amp;G17&amp;""", ""bookName"": """&amp;A17&amp;""", ""bookSubtitle"": """&amp;B17&amp;""", ""bookOsisID"": """&amp;C17&amp;""", ""paratext"": "&amp;IF(D17="","null",""""&amp;D17&amp;"""")&amp;", ""groups"": "&amp;E17&amp;", ""aliases"": "&amp;F17&amp;", ""chapterLabel"": """&amp;K17&amp;""", ""verseLabel"": """&amp;L17&amp;""", ""authors"": "&amp;H17&amp;", ""dateEarliest"": """&amp;I17&amp;""", ""dateLatest"": """&amp;J17&amp;""", ""hasData"": "&amp;M17&amp;" },"</f>
        <v>{ "workOsisID": "KJV", "bookName": "Nehemiah", "bookSubtitle": "The Book of Nehemiah", "bookOsisID": "Neh", "paratext": "NEH", "groups": ["Old Testament", "Bible", "Persian Period"], "aliases": ["Ne"], "chapterLabel": "Chapter", "verseLabel": "Verse", "authors": [], "dateEarliest": "", "dateLatest": "", "hasData": true },</v>
      </c>
    </row>
    <row r="18" spans="1:14" s="4" customFormat="1" x14ac:dyDescent="0.2">
      <c r="A18" s="5" t="s">
        <v>411</v>
      </c>
      <c r="B18" s="4" t="str">
        <f t="shared" si="1"/>
        <v>The Book of Esther</v>
      </c>
      <c r="C18" s="4" t="s">
        <v>46</v>
      </c>
      <c r="D18" s="4" t="s">
        <v>47</v>
      </c>
      <c r="E18" s="4" t="s">
        <v>455</v>
      </c>
      <c r="F18" s="15" t="s">
        <v>1173</v>
      </c>
      <c r="G18" s="7" t="s">
        <v>491</v>
      </c>
      <c r="H18" s="7" t="s">
        <v>1094</v>
      </c>
      <c r="I18" s="7"/>
      <c r="J18" s="7"/>
      <c r="K18" s="4" t="s">
        <v>481</v>
      </c>
      <c r="L18" s="4" t="s">
        <v>485</v>
      </c>
      <c r="M18" s="4" t="str">
        <f t="shared" si="0"/>
        <v>true</v>
      </c>
      <c r="N18" s="4" t="str">
        <f>"{ ""workOsisID"": """&amp;G18&amp;""", ""bookName"": """&amp;A18&amp;""", ""bookSubtitle"": """&amp;B18&amp;""", ""bookOsisID"": """&amp;C18&amp;""", ""paratext"": "&amp;IF(D18="","null",""""&amp;D18&amp;"""")&amp;", ""groups"": "&amp;E18&amp;", ""aliases"": "&amp;F18&amp;", ""chapterLabel"": """&amp;K18&amp;""", ""verseLabel"": """&amp;L18&amp;""", ""authors"": "&amp;H18&amp;", ""dateEarliest"": """&amp;I18&amp;""", ""dateLatest"": """&amp;J18&amp;""", ""hasData"": "&amp;M18&amp;" },"</f>
        <v>{ "workOsisID": "KJV", "bookName": "Esther", "bookSubtitle": "The Book of Esther", "bookOsisID": "Esth", "paratext": "EST", "groups": ["Old Testament", "Bible"], "aliases": ["Es"], "chapterLabel": "Chapter", "verseLabel": "Verse", "authors": [], "dateEarliest": "", "dateLatest": "", "hasData": true },</v>
      </c>
    </row>
    <row r="19" spans="1:14" s="4" customFormat="1" x14ac:dyDescent="0.2">
      <c r="A19" s="4" t="s">
        <v>48</v>
      </c>
      <c r="B19" s="4" t="str">
        <f t="shared" si="1"/>
        <v>The Book of Job</v>
      </c>
      <c r="C19" s="4" t="s">
        <v>48</v>
      </c>
      <c r="D19" s="4" t="s">
        <v>49</v>
      </c>
      <c r="E19" s="4" t="s">
        <v>455</v>
      </c>
      <c r="F19" s="15" t="s">
        <v>1174</v>
      </c>
      <c r="G19" s="7" t="s">
        <v>491</v>
      </c>
      <c r="H19" s="7" t="s">
        <v>1094</v>
      </c>
      <c r="I19" s="7"/>
      <c r="J19" s="7"/>
      <c r="K19" s="4" t="s">
        <v>481</v>
      </c>
      <c r="L19" s="4" t="s">
        <v>485</v>
      </c>
      <c r="M19" s="4" t="str">
        <f t="shared" si="0"/>
        <v>true</v>
      </c>
      <c r="N19" s="4" t="str">
        <f>"{ ""workOsisID"": """&amp;G19&amp;""", ""bookName"": """&amp;A19&amp;""", ""bookSubtitle"": """&amp;B19&amp;""", ""bookOsisID"": """&amp;C19&amp;""", ""paratext"": "&amp;IF(D19="","null",""""&amp;D19&amp;"""")&amp;", ""groups"": "&amp;E19&amp;", ""aliases"": "&amp;F19&amp;", ""chapterLabel"": """&amp;K19&amp;""", ""verseLabel"": """&amp;L19&amp;""", ""authors"": "&amp;H19&amp;", ""dateEarliest"": """&amp;I19&amp;""", ""dateLatest"": """&amp;J19&amp;""", ""hasData"": "&amp;M19&amp;" },"</f>
        <v>{ "workOsisID": "KJV", "bookName": "Job", "bookSubtitle": "The Book of Job", "bookOsisID": "Job", "paratext": "JOB", "groups": ["Old Testament", "Bible"], "aliases": ["Jb"], "chapterLabel": "Chapter", "verseLabel": "Verse", "authors": [], "dateEarliest": "", "dateLatest": "", "hasData": true },</v>
      </c>
    </row>
    <row r="20" spans="1:14" s="4" customFormat="1" x14ac:dyDescent="0.2">
      <c r="A20" s="4" t="s">
        <v>51</v>
      </c>
      <c r="B20" s="4" t="str">
        <f t="shared" si="1"/>
        <v>The Book of Psalms</v>
      </c>
      <c r="C20" s="4" t="s">
        <v>50</v>
      </c>
      <c r="D20" s="4" t="s">
        <v>52</v>
      </c>
      <c r="E20" s="4" t="s">
        <v>455</v>
      </c>
      <c r="F20" s="4" t="s">
        <v>1175</v>
      </c>
      <c r="G20" s="7" t="s">
        <v>491</v>
      </c>
      <c r="H20" s="7" t="s">
        <v>1094</v>
      </c>
      <c r="I20" s="7"/>
      <c r="J20" s="7"/>
      <c r="K20" s="4" t="s">
        <v>481</v>
      </c>
      <c r="L20" s="4" t="s">
        <v>485</v>
      </c>
      <c r="M20" s="4" t="str">
        <f t="shared" si="0"/>
        <v>true</v>
      </c>
      <c r="N20" s="4" t="str">
        <f>"{ ""workOsisID"": """&amp;G20&amp;""", ""bookName"": """&amp;A20&amp;""", ""bookSubtitle"": """&amp;B20&amp;""", ""bookOsisID"": """&amp;C20&amp;""", ""paratext"": "&amp;IF(D20="","null",""""&amp;D20&amp;"""")&amp;", ""groups"": "&amp;E20&amp;", ""aliases"": "&amp;F20&amp;", ""chapterLabel"": """&amp;K20&amp;""", ""verseLabel"": """&amp;L20&amp;""", ""authors"": "&amp;H20&amp;", ""dateEarliest"": """&amp;I20&amp;""", ""dateLatest"": """&amp;J20&amp;""", ""hasData"": "&amp;M20&amp;" },"</f>
        <v>{ "workOsisID": "KJV", "bookName": "Psalms", "bookSubtitle": "The Book of Psalms", "bookOsisID": "Ps", "paratext": "PSA", "groups": ["Old Testament", "Bible"], "aliases": ["Psalm","Pslm","Psm","Pss"], "chapterLabel": "Chapter", "verseLabel": "Verse", "authors": [], "dateEarliest": "", "dateLatest": "", "hasData": true },</v>
      </c>
    </row>
    <row r="21" spans="1:14" s="4" customFormat="1" x14ac:dyDescent="0.2">
      <c r="A21" s="4" t="s">
        <v>54</v>
      </c>
      <c r="B21" s="4" t="str">
        <f t="shared" si="1"/>
        <v>The Book of Proverbs</v>
      </c>
      <c r="C21" s="4" t="s">
        <v>53</v>
      </c>
      <c r="D21" s="4" t="s">
        <v>55</v>
      </c>
      <c r="E21" s="4" t="s">
        <v>455</v>
      </c>
      <c r="F21" s="4" t="s">
        <v>1177</v>
      </c>
      <c r="G21" s="7" t="s">
        <v>491</v>
      </c>
      <c r="H21" s="7" t="s">
        <v>1094</v>
      </c>
      <c r="I21" s="7"/>
      <c r="J21" s="7"/>
      <c r="K21" s="4" t="s">
        <v>481</v>
      </c>
      <c r="L21" s="4" t="s">
        <v>485</v>
      </c>
      <c r="M21" s="4" t="str">
        <f t="shared" si="0"/>
        <v>true</v>
      </c>
      <c r="N21" s="4" t="str">
        <f>"{ ""workOsisID"": """&amp;G21&amp;""", ""bookName"": """&amp;A21&amp;""", ""bookSubtitle"": """&amp;B21&amp;""", ""bookOsisID"": """&amp;C21&amp;""", ""paratext"": "&amp;IF(D21="","null",""""&amp;D21&amp;"""")&amp;", ""groups"": "&amp;E21&amp;", ""aliases"": "&amp;F21&amp;", ""chapterLabel"": """&amp;K21&amp;""", ""verseLabel"": """&amp;L21&amp;""", ""authors"": "&amp;H21&amp;", ""dateEarliest"": """&amp;I21&amp;""", ""dateLatest"": """&amp;J21&amp;""", ""hasData"": "&amp;M21&amp;" },"</f>
        <v>{ "workOsisID": "KJV", "bookName": "Proverbs", "bookSubtitle": "The Book of Proverbs", "bookOsisID": "Prov", "paratext": "PRO", "groups": ["Old Testament", "Bible"], "aliases": ["Prv","Pv"], "chapterLabel": "Chapter", "verseLabel": "Verse", "authors": [], "dateEarliest": "", "dateLatest": "", "hasData": true },</v>
      </c>
    </row>
    <row r="22" spans="1:14" s="4" customFormat="1" x14ac:dyDescent="0.2">
      <c r="A22" s="4" t="s">
        <v>57</v>
      </c>
      <c r="B22" s="4" t="str">
        <f t="shared" si="1"/>
        <v>The Book of Ecclesiastes</v>
      </c>
      <c r="C22" s="4" t="s">
        <v>56</v>
      </c>
      <c r="D22" s="4" t="s">
        <v>58</v>
      </c>
      <c r="E22" s="4" t="s">
        <v>455</v>
      </c>
      <c r="F22" s="4" t="s">
        <v>1165</v>
      </c>
      <c r="G22" s="7" t="s">
        <v>491</v>
      </c>
      <c r="H22" s="7" t="s">
        <v>1094</v>
      </c>
      <c r="I22" s="7"/>
      <c r="J22" s="7"/>
      <c r="K22" s="4" t="s">
        <v>481</v>
      </c>
      <c r="L22" s="4" t="s">
        <v>485</v>
      </c>
      <c r="M22" s="4" t="str">
        <f t="shared" si="0"/>
        <v>true</v>
      </c>
      <c r="N22" s="4" t="str">
        <f>"{ ""workOsisID"": """&amp;G22&amp;""", ""bookName"": """&amp;A22&amp;""", ""bookSubtitle"": """&amp;B22&amp;""", ""bookOsisID"": """&amp;C22&amp;""", ""paratext"": "&amp;IF(D22="","null",""""&amp;D22&amp;"""")&amp;", ""groups"": "&amp;E22&amp;", ""aliases"": "&amp;F22&amp;", ""chapterLabel"": """&amp;K22&amp;""", ""verseLabel"": """&amp;L22&amp;""", ""authors"": "&amp;H22&amp;", ""dateEarliest"": """&amp;I22&amp;""", ""dateLatest"": """&amp;J22&amp;""", ""hasData"": "&amp;M22&amp;" },"</f>
        <v>{ "workOsisID": "KJV", "bookName": "Ecclesiastes", "bookSubtitle": "The Book of Ecclesiastes", "bookOsisID": "Eccl", "paratext": "ECC", "groups": ["Old Testament", "Bible"], "aliases": ["Qohelet"], "chapterLabel": "Chapter", "verseLabel": "Verse", "authors": [], "dateEarliest": "", "dateLatest": "", "hasData": true },</v>
      </c>
    </row>
    <row r="23" spans="1:14" s="4" customFormat="1" x14ac:dyDescent="0.2">
      <c r="A23" s="4" t="s">
        <v>60</v>
      </c>
      <c r="B23" s="4" t="str">
        <f t="shared" si="1"/>
        <v>The Book of Song of Solomon</v>
      </c>
      <c r="C23" s="4" t="s">
        <v>59</v>
      </c>
      <c r="D23" s="4" t="s">
        <v>61</v>
      </c>
      <c r="E23" s="4" t="s">
        <v>455</v>
      </c>
      <c r="F23" s="4" t="s">
        <v>477</v>
      </c>
      <c r="G23" s="7" t="s">
        <v>491</v>
      </c>
      <c r="H23" s="7" t="s">
        <v>1094</v>
      </c>
      <c r="I23" s="7"/>
      <c r="J23" s="7"/>
      <c r="K23" s="4" t="s">
        <v>481</v>
      </c>
      <c r="L23" s="4" t="s">
        <v>485</v>
      </c>
      <c r="M23" s="4" t="str">
        <f t="shared" si="0"/>
        <v>true</v>
      </c>
      <c r="N23" s="4" t="str">
        <f>"{ ""workOsisID"": """&amp;G23&amp;""", ""bookName"": """&amp;A23&amp;""", ""bookSubtitle"": """&amp;B23&amp;""", ""bookOsisID"": """&amp;C23&amp;""", ""paratext"": "&amp;IF(D23="","null",""""&amp;D23&amp;"""")&amp;", ""groups"": "&amp;E23&amp;", ""aliases"": "&amp;F23&amp;", ""chapterLabel"": """&amp;K23&amp;""", ""verseLabel"": """&amp;L23&amp;""", ""authors"": "&amp;H23&amp;", ""dateEarliest"": """&amp;I23&amp;""", ""dateLatest"": """&amp;J23&amp;""", ""hasData"": "&amp;M23&amp;" },"</f>
        <v>{ "workOsisID": "KJV", "bookName": "Song of Solomon", "bookSubtitle": "The Book of Song of Solomon", "bookOsisID": "Song", "paratext": "SNG", "groups": ["Old Testament", "Bible"], "aliases": ["Canticle of Canticles","Song","SNG","Solomon's Song"], "chapterLabel": "Chapter", "verseLabel": "Verse", "authors": [], "dateEarliest": "", "dateLatest": "", "hasData": true },</v>
      </c>
    </row>
    <row r="24" spans="1:14" s="4" customFormat="1" x14ac:dyDescent="0.2">
      <c r="A24" s="4" t="s">
        <v>63</v>
      </c>
      <c r="B24" s="4" t="str">
        <f t="shared" si="1"/>
        <v>The Book of Isaiah</v>
      </c>
      <c r="C24" s="4" t="s">
        <v>62</v>
      </c>
      <c r="D24" s="4" t="s">
        <v>64</v>
      </c>
      <c r="E24" s="4" t="s">
        <v>455</v>
      </c>
      <c r="F24" s="4" t="s">
        <v>1178</v>
      </c>
      <c r="G24" s="7" t="s">
        <v>491</v>
      </c>
      <c r="H24" s="7" t="s">
        <v>1010</v>
      </c>
      <c r="I24" s="7"/>
      <c r="J24" s="7"/>
      <c r="K24" s="4" t="s">
        <v>481</v>
      </c>
      <c r="L24" s="4" t="s">
        <v>485</v>
      </c>
      <c r="M24" s="4" t="str">
        <f t="shared" si="0"/>
        <v>true</v>
      </c>
      <c r="N24" s="4" t="str">
        <f>"{ ""workOsisID"": """&amp;G24&amp;""", ""bookName"": """&amp;A24&amp;""", ""bookSubtitle"": """&amp;B24&amp;""", ""bookOsisID"": """&amp;C24&amp;""", ""paratext"": "&amp;IF(D24="","null",""""&amp;D24&amp;"""")&amp;", ""groups"": "&amp;E24&amp;", ""aliases"": "&amp;F24&amp;", ""chapterLabel"": """&amp;K24&amp;""", ""verseLabel"": """&amp;L24&amp;""", ""authors"": "&amp;H24&amp;", ""dateEarliest"": """&amp;I24&amp;""", ""dateLatest"": """&amp;J24&amp;""", ""hasData"": "&amp;M24&amp;" },"</f>
        <v>{ "workOsisID": "KJV", "bookName": "Isaiah", "bookSubtitle": "The Book of Isaiah", "bookOsisID": "Isa", "paratext": "ISA", "groups": ["Old Testament", "Bible"], "aliases": ["Is"], "chapterLabel": "Chapter", "verseLabel": "Verse", "authors": ["Isaiah"], "dateEarliest": "", "dateLatest": "", "hasData": true },</v>
      </c>
    </row>
    <row r="25" spans="1:14" s="4" customFormat="1" x14ac:dyDescent="0.2">
      <c r="A25" s="4" t="s">
        <v>66</v>
      </c>
      <c r="B25" s="4" t="str">
        <f t="shared" si="1"/>
        <v>The Book of Jeremiah</v>
      </c>
      <c r="C25" s="4" t="s">
        <v>65</v>
      </c>
      <c r="D25" s="4" t="s">
        <v>67</v>
      </c>
      <c r="E25" s="4" t="s">
        <v>455</v>
      </c>
      <c r="F25" s="4" t="s">
        <v>1179</v>
      </c>
      <c r="G25" s="7" t="s">
        <v>491</v>
      </c>
      <c r="H25" s="7" t="s">
        <v>1011</v>
      </c>
      <c r="I25" s="7"/>
      <c r="J25" s="7"/>
      <c r="K25" s="4" t="s">
        <v>481</v>
      </c>
      <c r="L25" s="4" t="s">
        <v>485</v>
      </c>
      <c r="M25" s="4" t="str">
        <f t="shared" si="0"/>
        <v>true</v>
      </c>
      <c r="N25" s="4" t="str">
        <f>"{ ""workOsisID"": """&amp;G25&amp;""", ""bookName"": """&amp;A25&amp;""", ""bookSubtitle"": """&amp;B25&amp;""", ""bookOsisID"": """&amp;C25&amp;""", ""paratext"": "&amp;IF(D25="","null",""""&amp;D25&amp;"""")&amp;", ""groups"": "&amp;E25&amp;", ""aliases"": "&amp;F25&amp;", ""chapterLabel"": """&amp;K25&amp;""", ""verseLabel"": """&amp;L25&amp;""", ""authors"": "&amp;H25&amp;", ""dateEarliest"": """&amp;I25&amp;""", ""dateLatest"": """&amp;J25&amp;""", ""hasData"": "&amp;M25&amp;" },"</f>
        <v>{ "workOsisID": "KJV", "bookName": "Jeremiah", "bookSubtitle": "The Book of Jeremiah", "bookOsisID": "Jer", "paratext": "JER", "groups": ["Old Testament", "Bible"], "aliases": ["Je","Jr"], "chapterLabel": "Chapter", "verseLabel": "Verse", "authors": ["Jeremiah"], "dateEarliest": "", "dateLatest": "", "hasData": true },</v>
      </c>
    </row>
    <row r="26" spans="1:14" s="4" customFormat="1" x14ac:dyDescent="0.2">
      <c r="A26" s="4" t="s">
        <v>69</v>
      </c>
      <c r="B26" s="4" t="str">
        <f t="shared" si="1"/>
        <v>The Book of Lamentations</v>
      </c>
      <c r="C26" s="4" t="s">
        <v>68</v>
      </c>
      <c r="D26" s="4" t="s">
        <v>70</v>
      </c>
      <c r="E26" s="4" t="s">
        <v>455</v>
      </c>
      <c r="F26" s="4" t="s">
        <v>1094</v>
      </c>
      <c r="G26" s="7" t="s">
        <v>491</v>
      </c>
      <c r="H26" s="7" t="s">
        <v>1094</v>
      </c>
      <c r="I26" s="7"/>
      <c r="J26" s="7"/>
      <c r="K26" s="4" t="s">
        <v>481</v>
      </c>
      <c r="L26" s="4" t="s">
        <v>485</v>
      </c>
      <c r="M26" s="4" t="str">
        <f t="shared" si="0"/>
        <v>true</v>
      </c>
      <c r="N26" s="4" t="str">
        <f>"{ ""workOsisID"": """&amp;G26&amp;""", ""bookName"": """&amp;A26&amp;""", ""bookSubtitle"": """&amp;B26&amp;""", ""bookOsisID"": """&amp;C26&amp;""", ""paratext"": "&amp;IF(D26="","null",""""&amp;D26&amp;"""")&amp;", ""groups"": "&amp;E26&amp;", ""aliases"": "&amp;F26&amp;", ""chapterLabel"": """&amp;K26&amp;""", ""verseLabel"": """&amp;L26&amp;""", ""authors"": "&amp;H26&amp;", ""dateEarliest"": """&amp;I26&amp;""", ""dateLatest"": """&amp;J26&amp;""", ""hasData"": "&amp;M26&amp;" },"</f>
        <v>{ "workOsisID": "KJV", "bookName": "Lamentations", "bookSubtitle": "The Book of Lamentations", "bookOsisID": "Lam", "paratext": "LAM", "groups": ["Old Testament", "Bible"], "aliases": [], "chapterLabel": "Chapter", "verseLabel": "Verse", "authors": [], "dateEarliest": "", "dateLatest": "", "hasData": true },</v>
      </c>
    </row>
    <row r="27" spans="1:14" s="4" customFormat="1" x14ac:dyDescent="0.2">
      <c r="A27" s="4" t="s">
        <v>72</v>
      </c>
      <c r="B27" s="4" t="str">
        <f t="shared" si="1"/>
        <v>The Book of Ezekiel</v>
      </c>
      <c r="C27" s="4" t="s">
        <v>71</v>
      </c>
      <c r="D27" s="4" t="s">
        <v>73</v>
      </c>
      <c r="E27" s="4" t="s">
        <v>455</v>
      </c>
      <c r="F27" s="4" t="s">
        <v>1094</v>
      </c>
      <c r="G27" s="7" t="s">
        <v>491</v>
      </c>
      <c r="H27" s="7" t="s">
        <v>1012</v>
      </c>
      <c r="I27" s="7"/>
      <c r="J27" s="7"/>
      <c r="K27" s="4" t="s">
        <v>481</v>
      </c>
      <c r="L27" s="4" t="s">
        <v>485</v>
      </c>
      <c r="M27" s="4" t="str">
        <f t="shared" si="0"/>
        <v>true</v>
      </c>
      <c r="N27" s="4" t="str">
        <f>"{ ""workOsisID"": """&amp;G27&amp;""", ""bookName"": """&amp;A27&amp;""", ""bookSubtitle"": """&amp;B27&amp;""", ""bookOsisID"": """&amp;C27&amp;""", ""paratext"": "&amp;IF(D27="","null",""""&amp;D27&amp;"""")&amp;", ""groups"": "&amp;E27&amp;", ""aliases"": "&amp;F27&amp;", ""chapterLabel"": """&amp;K27&amp;""", ""verseLabel"": """&amp;L27&amp;""", ""authors"": "&amp;H27&amp;", ""dateEarliest"": """&amp;I27&amp;""", ""dateLatest"": """&amp;J27&amp;""", ""hasData"": "&amp;M27&amp;" },"</f>
        <v>{ "workOsisID": "KJV", "bookName": "Ezekiel", "bookSubtitle": "The Book of Ezekiel", "bookOsisID": "Ezek", "paratext": "EZK", "groups": ["Old Testament", "Bible"], "aliases": [], "chapterLabel": "Chapter", "verseLabel": "Verse", "authors": ["Ezekiel"], "dateEarliest": "", "dateLatest": "", "hasData": true },</v>
      </c>
    </row>
    <row r="28" spans="1:14" s="4" customFormat="1" x14ac:dyDescent="0.2">
      <c r="A28" s="4" t="s">
        <v>75</v>
      </c>
      <c r="B28" s="4" t="str">
        <f t="shared" si="1"/>
        <v>The Book of Daniel</v>
      </c>
      <c r="C28" s="4" t="s">
        <v>74</v>
      </c>
      <c r="D28" s="4" t="s">
        <v>76</v>
      </c>
      <c r="E28" s="4" t="s">
        <v>455</v>
      </c>
      <c r="F28" s="4" t="s">
        <v>1094</v>
      </c>
      <c r="G28" s="7" t="s">
        <v>491</v>
      </c>
      <c r="H28" s="7" t="s">
        <v>1013</v>
      </c>
      <c r="I28" s="7"/>
      <c r="J28" s="7"/>
      <c r="K28" s="4" t="s">
        <v>481</v>
      </c>
      <c r="L28" s="4" t="s">
        <v>485</v>
      </c>
      <c r="M28" s="4" t="str">
        <f t="shared" si="0"/>
        <v>true</v>
      </c>
      <c r="N28" s="4" t="str">
        <f>"{ ""workOsisID"": """&amp;G28&amp;""", ""bookName"": """&amp;A28&amp;""", ""bookSubtitle"": """&amp;B28&amp;""", ""bookOsisID"": """&amp;C28&amp;""", ""paratext"": "&amp;IF(D28="","null",""""&amp;D28&amp;"""")&amp;", ""groups"": "&amp;E28&amp;", ""aliases"": "&amp;F28&amp;", ""chapterLabel"": """&amp;K28&amp;""", ""verseLabel"": """&amp;L28&amp;""", ""authors"": "&amp;H28&amp;", ""dateEarliest"": """&amp;I28&amp;""", ""dateLatest"": """&amp;J28&amp;""", ""hasData"": "&amp;M28&amp;" },"</f>
        <v>{ "workOsisID": "KJV", "bookName": "Daniel", "bookSubtitle": "The Book of Daniel", "bookOsisID": "Dan", "paratext": "DAN", "groups": ["Old Testament", "Bible"], "aliases": [], "chapterLabel": "Chapter", "verseLabel": "Verse", "authors": ["Daniel"], "dateEarliest": "", "dateLatest": "", "hasData": true },</v>
      </c>
    </row>
    <row r="29" spans="1:14" s="4" customFormat="1" x14ac:dyDescent="0.2">
      <c r="A29" s="4" t="s">
        <v>78</v>
      </c>
      <c r="B29" s="4" t="str">
        <f t="shared" si="1"/>
        <v>The Book of Hosea</v>
      </c>
      <c r="C29" s="4" t="s">
        <v>77</v>
      </c>
      <c r="D29" s="4" t="s">
        <v>79</v>
      </c>
      <c r="E29" s="4" t="s">
        <v>455</v>
      </c>
      <c r="F29" s="4" t="s">
        <v>1094</v>
      </c>
      <c r="G29" s="7" t="s">
        <v>491</v>
      </c>
      <c r="H29" s="7" t="s">
        <v>1094</v>
      </c>
      <c r="I29" s="7"/>
      <c r="J29" s="7"/>
      <c r="K29" s="4" t="s">
        <v>481</v>
      </c>
      <c r="L29" s="4" t="s">
        <v>485</v>
      </c>
      <c r="M29" s="4" t="str">
        <f t="shared" si="0"/>
        <v>true</v>
      </c>
      <c r="N29" s="4" t="str">
        <f>"{ ""workOsisID"": """&amp;G29&amp;""", ""bookName"": """&amp;A29&amp;""", ""bookSubtitle"": """&amp;B29&amp;""", ""bookOsisID"": """&amp;C29&amp;""", ""paratext"": "&amp;IF(D29="","null",""""&amp;D29&amp;"""")&amp;", ""groups"": "&amp;E29&amp;", ""aliases"": "&amp;F29&amp;", ""chapterLabel"": """&amp;K29&amp;""", ""verseLabel"": """&amp;L29&amp;""", ""authors"": "&amp;H29&amp;", ""dateEarliest"": """&amp;I29&amp;""", ""dateLatest"": """&amp;J29&amp;""", ""hasData"": "&amp;M29&amp;" },"</f>
        <v>{ "workOsisID": "KJV", "bookName": "Hosea", "bookSubtitle": "The Book of Hosea", "bookOsisID": "Hos", "paratext": "HOS", "groups": ["Old Testament", "Bible"], "aliases": [], "chapterLabel": "Chapter", "verseLabel": "Verse", "authors": [], "dateEarliest": "", "dateLatest": "", "hasData": true },</v>
      </c>
    </row>
    <row r="30" spans="1:14" s="4" customFormat="1" x14ac:dyDescent="0.2">
      <c r="A30" s="4" t="s">
        <v>80</v>
      </c>
      <c r="B30" s="4" t="str">
        <f t="shared" si="1"/>
        <v>The Book of Joel</v>
      </c>
      <c r="C30" s="4" t="s">
        <v>80</v>
      </c>
      <c r="D30" s="4" t="s">
        <v>81</v>
      </c>
      <c r="E30" s="4" t="s">
        <v>455</v>
      </c>
      <c r="F30" s="4" t="s">
        <v>1094</v>
      </c>
      <c r="G30" s="7" t="s">
        <v>491</v>
      </c>
      <c r="H30" s="7" t="s">
        <v>1094</v>
      </c>
      <c r="I30" s="7"/>
      <c r="J30" s="7"/>
      <c r="K30" s="4" t="s">
        <v>481</v>
      </c>
      <c r="L30" s="4" t="s">
        <v>485</v>
      </c>
      <c r="M30" s="4" t="str">
        <f t="shared" si="0"/>
        <v>true</v>
      </c>
      <c r="N30" s="4" t="str">
        <f>"{ ""workOsisID"": """&amp;G30&amp;""", ""bookName"": """&amp;A30&amp;""", ""bookSubtitle"": """&amp;B30&amp;""", ""bookOsisID"": """&amp;C30&amp;""", ""paratext"": "&amp;IF(D30="","null",""""&amp;D30&amp;"""")&amp;", ""groups"": "&amp;E30&amp;", ""aliases"": "&amp;F30&amp;", ""chapterLabel"": """&amp;K30&amp;""", ""verseLabel"": """&amp;L30&amp;""", ""authors"": "&amp;H30&amp;", ""dateEarliest"": """&amp;I30&amp;""", ""dateLatest"": """&amp;J30&amp;""", ""hasData"": "&amp;M30&amp;" },"</f>
        <v>{ "workOsisID": "KJV", "bookName": "Joel", "bookSubtitle": "The Book of Joel", "bookOsisID": "Joel", "paratext": "JOL", "groups": ["Old Testament", "Bible"], "aliases": [], "chapterLabel": "Chapter", "verseLabel": "Verse", "authors": [], "dateEarliest": "", "dateLatest": "", "hasData": true },</v>
      </c>
    </row>
    <row r="31" spans="1:14" s="4" customFormat="1" x14ac:dyDescent="0.2">
      <c r="A31" s="4" t="s">
        <v>82</v>
      </c>
      <c r="B31" s="4" t="str">
        <f t="shared" si="1"/>
        <v>The Book of Amos</v>
      </c>
      <c r="C31" s="4" t="s">
        <v>82</v>
      </c>
      <c r="D31" s="4" t="s">
        <v>83</v>
      </c>
      <c r="E31" s="4" t="s">
        <v>455</v>
      </c>
      <c r="F31" s="4" t="s">
        <v>1094</v>
      </c>
      <c r="G31" s="7" t="s">
        <v>491</v>
      </c>
      <c r="H31" s="7" t="s">
        <v>1094</v>
      </c>
      <c r="I31" s="7"/>
      <c r="J31" s="7"/>
      <c r="K31" s="4" t="s">
        <v>481</v>
      </c>
      <c r="L31" s="4" t="s">
        <v>485</v>
      </c>
      <c r="M31" s="4" t="str">
        <f t="shared" si="0"/>
        <v>true</v>
      </c>
      <c r="N31" s="4" t="str">
        <f>"{ ""workOsisID"": """&amp;G31&amp;""", ""bookName"": """&amp;A31&amp;""", ""bookSubtitle"": """&amp;B31&amp;""", ""bookOsisID"": """&amp;C31&amp;""", ""paratext"": "&amp;IF(D31="","null",""""&amp;D31&amp;"""")&amp;", ""groups"": "&amp;E31&amp;", ""aliases"": "&amp;F31&amp;", ""chapterLabel"": """&amp;K31&amp;""", ""verseLabel"": """&amp;L31&amp;""", ""authors"": "&amp;H31&amp;", ""dateEarliest"": """&amp;I31&amp;""", ""dateLatest"": """&amp;J31&amp;""", ""hasData"": "&amp;M31&amp;" },"</f>
        <v>{ "workOsisID": "KJV", "bookName": "Amos", "bookSubtitle": "The Book of Amos", "bookOsisID": "Amos", "paratext": "AMO", "groups": ["Old Testament", "Bible"], "aliases": [], "chapterLabel": "Chapter", "verseLabel": "Verse", "authors": [], "dateEarliest": "", "dateLatest": "", "hasData": true },</v>
      </c>
    </row>
    <row r="32" spans="1:14" s="4" customFormat="1" x14ac:dyDescent="0.2">
      <c r="A32" s="4" t="s">
        <v>85</v>
      </c>
      <c r="B32" s="4" t="str">
        <f t="shared" si="1"/>
        <v>The Book of Obadiah</v>
      </c>
      <c r="C32" s="4" t="s">
        <v>84</v>
      </c>
      <c r="D32" s="4" t="s">
        <v>86</v>
      </c>
      <c r="E32" s="4" t="s">
        <v>455</v>
      </c>
      <c r="F32" s="4" t="s">
        <v>1094</v>
      </c>
      <c r="G32" s="7" t="s">
        <v>491</v>
      </c>
      <c r="H32" s="7" t="s">
        <v>1094</v>
      </c>
      <c r="I32" s="7"/>
      <c r="J32" s="7"/>
      <c r="K32" s="4" t="s">
        <v>481</v>
      </c>
      <c r="L32" s="4" t="s">
        <v>485</v>
      </c>
      <c r="M32" s="4" t="str">
        <f t="shared" si="0"/>
        <v>true</v>
      </c>
      <c r="N32" s="4" t="str">
        <f>"{ ""workOsisID"": """&amp;G32&amp;""", ""bookName"": """&amp;A32&amp;""", ""bookSubtitle"": """&amp;B32&amp;""", ""bookOsisID"": """&amp;C32&amp;""", ""paratext"": "&amp;IF(D32="","null",""""&amp;D32&amp;"""")&amp;", ""groups"": "&amp;E32&amp;", ""aliases"": "&amp;F32&amp;", ""chapterLabel"": """&amp;K32&amp;""", ""verseLabel"": """&amp;L32&amp;""", ""authors"": "&amp;H32&amp;", ""dateEarliest"": """&amp;I32&amp;""", ""dateLatest"": """&amp;J32&amp;""", ""hasData"": "&amp;M32&amp;" },"</f>
        <v>{ "workOsisID": "KJV", "bookName": "Obadiah", "bookSubtitle": "The Book of Obadiah", "bookOsisID": "Obad", "paratext": "OBA", "groups": ["Old Testament", "Bible"], "aliases": [], "chapterLabel": "Chapter", "verseLabel": "Verse", "authors": [], "dateEarliest": "", "dateLatest": "", "hasData": true },</v>
      </c>
    </row>
    <row r="33" spans="1:14" s="4" customFormat="1" x14ac:dyDescent="0.2">
      <c r="A33" s="4" t="s">
        <v>87</v>
      </c>
      <c r="B33" s="4" t="str">
        <f t="shared" si="1"/>
        <v>The Book of Jonah</v>
      </c>
      <c r="C33" s="4" t="s">
        <v>87</v>
      </c>
      <c r="D33" s="4" t="s">
        <v>88</v>
      </c>
      <c r="E33" s="4" t="s">
        <v>455</v>
      </c>
      <c r="F33" s="4" t="s">
        <v>1094</v>
      </c>
      <c r="G33" s="7" t="s">
        <v>491</v>
      </c>
      <c r="H33" s="7" t="s">
        <v>1094</v>
      </c>
      <c r="I33" s="7"/>
      <c r="J33" s="7"/>
      <c r="K33" s="4" t="s">
        <v>481</v>
      </c>
      <c r="L33" s="4" t="s">
        <v>485</v>
      </c>
      <c r="M33" s="4" t="str">
        <f t="shared" si="0"/>
        <v>true</v>
      </c>
      <c r="N33" s="4" t="str">
        <f>"{ ""workOsisID"": """&amp;G33&amp;""", ""bookName"": """&amp;A33&amp;""", ""bookSubtitle"": """&amp;B33&amp;""", ""bookOsisID"": """&amp;C33&amp;""", ""paratext"": "&amp;IF(D33="","null",""""&amp;D33&amp;"""")&amp;", ""groups"": "&amp;E33&amp;", ""aliases"": "&amp;F33&amp;", ""chapterLabel"": """&amp;K33&amp;""", ""verseLabel"": """&amp;L33&amp;""", ""authors"": "&amp;H33&amp;", ""dateEarliest"": """&amp;I33&amp;""", ""dateLatest"": """&amp;J33&amp;""", ""hasData"": "&amp;M33&amp;" },"</f>
        <v>{ "workOsisID": "KJV", "bookName": "Jonah", "bookSubtitle": "The Book of Jonah", "bookOsisID": "Jonah", "paratext": "JON", "groups": ["Old Testament", "Bible"], "aliases": [], "chapterLabel": "Chapter", "verseLabel": "Verse", "authors": [], "dateEarliest": "", "dateLatest": "", "hasData": true },</v>
      </c>
    </row>
    <row r="34" spans="1:14" s="4" customFormat="1" x14ac:dyDescent="0.2">
      <c r="A34" s="4" t="s">
        <v>90</v>
      </c>
      <c r="B34" s="4" t="str">
        <f t="shared" si="1"/>
        <v>The Book of Micah</v>
      </c>
      <c r="C34" s="4" t="s">
        <v>89</v>
      </c>
      <c r="D34" s="4" t="s">
        <v>91</v>
      </c>
      <c r="E34" s="4" t="s">
        <v>455</v>
      </c>
      <c r="F34" s="4" t="s">
        <v>1094</v>
      </c>
      <c r="G34" s="7" t="s">
        <v>491</v>
      </c>
      <c r="H34" s="7" t="s">
        <v>1094</v>
      </c>
      <c r="I34" s="7"/>
      <c r="J34" s="7"/>
      <c r="K34" s="4" t="s">
        <v>481</v>
      </c>
      <c r="L34" s="4" t="s">
        <v>485</v>
      </c>
      <c r="M34" s="4" t="str">
        <f t="shared" si="0"/>
        <v>true</v>
      </c>
      <c r="N34" s="4" t="str">
        <f>"{ ""workOsisID"": """&amp;G34&amp;""", ""bookName"": """&amp;A34&amp;""", ""bookSubtitle"": """&amp;B34&amp;""", ""bookOsisID"": """&amp;C34&amp;""", ""paratext"": "&amp;IF(D34="","null",""""&amp;D34&amp;"""")&amp;", ""groups"": "&amp;E34&amp;", ""aliases"": "&amp;F34&amp;", ""chapterLabel"": """&amp;K34&amp;""", ""verseLabel"": """&amp;L34&amp;""", ""authors"": "&amp;H34&amp;", ""dateEarliest"": """&amp;I34&amp;""", ""dateLatest"": """&amp;J34&amp;""", ""hasData"": "&amp;M34&amp;" },"</f>
        <v>{ "workOsisID": "KJV", "bookName": "Micah", "bookSubtitle": "The Book of Micah", "bookOsisID": "Mic", "paratext": "MIC", "groups": ["Old Testament", "Bible"], "aliases": [], "chapterLabel": "Chapter", "verseLabel": "Verse", "authors": [], "dateEarliest": "", "dateLatest": "", "hasData": true },</v>
      </c>
    </row>
    <row r="35" spans="1:14" s="4" customFormat="1" x14ac:dyDescent="0.2">
      <c r="A35" s="4" t="s">
        <v>93</v>
      </c>
      <c r="B35" s="4" t="str">
        <f t="shared" si="1"/>
        <v>The Book of Nahum</v>
      </c>
      <c r="C35" s="4" t="s">
        <v>92</v>
      </c>
      <c r="D35" s="4" t="s">
        <v>94</v>
      </c>
      <c r="E35" s="4" t="s">
        <v>455</v>
      </c>
      <c r="F35" s="4" t="s">
        <v>1094</v>
      </c>
      <c r="G35" s="7" t="s">
        <v>491</v>
      </c>
      <c r="H35" s="7" t="s">
        <v>1094</v>
      </c>
      <c r="I35" s="7"/>
      <c r="J35" s="7"/>
      <c r="K35" s="4" t="s">
        <v>481</v>
      </c>
      <c r="L35" s="4" t="s">
        <v>485</v>
      </c>
      <c r="M35" s="4" t="str">
        <f t="shared" si="0"/>
        <v>true</v>
      </c>
      <c r="N35" s="4" t="str">
        <f>"{ ""workOsisID"": """&amp;G35&amp;""", ""bookName"": """&amp;A35&amp;""", ""bookSubtitle"": """&amp;B35&amp;""", ""bookOsisID"": """&amp;C35&amp;""", ""paratext"": "&amp;IF(D35="","null",""""&amp;D35&amp;"""")&amp;", ""groups"": "&amp;E35&amp;", ""aliases"": "&amp;F35&amp;", ""chapterLabel"": """&amp;K35&amp;""", ""verseLabel"": """&amp;L35&amp;""", ""authors"": "&amp;H35&amp;", ""dateEarliest"": """&amp;I35&amp;""", ""dateLatest"": """&amp;J35&amp;""", ""hasData"": "&amp;M35&amp;" },"</f>
        <v>{ "workOsisID": "KJV", "bookName": "Nahum", "bookSubtitle": "The Book of Nahum", "bookOsisID": "Nah", "paratext": "NAM", "groups": ["Old Testament", "Bible"], "aliases": [], "chapterLabel": "Chapter", "verseLabel": "Verse", "authors": [], "dateEarliest": "", "dateLatest": "", "hasData": true },</v>
      </c>
    </row>
    <row r="36" spans="1:14" s="4" customFormat="1" x14ac:dyDescent="0.2">
      <c r="A36" s="4" t="s">
        <v>96</v>
      </c>
      <c r="B36" s="4" t="str">
        <f t="shared" si="1"/>
        <v>The Book of Habakkuk</v>
      </c>
      <c r="C36" s="4" t="s">
        <v>95</v>
      </c>
      <c r="D36" s="4" t="s">
        <v>97</v>
      </c>
      <c r="E36" s="4" t="s">
        <v>455</v>
      </c>
      <c r="F36" s="4" t="s">
        <v>1094</v>
      </c>
      <c r="G36" s="7" t="s">
        <v>491</v>
      </c>
      <c r="H36" s="7" t="s">
        <v>1094</v>
      </c>
      <c r="I36" s="7"/>
      <c r="J36" s="7"/>
      <c r="K36" s="4" t="s">
        <v>481</v>
      </c>
      <c r="L36" s="4" t="s">
        <v>485</v>
      </c>
      <c r="M36" s="4" t="str">
        <f t="shared" si="0"/>
        <v>true</v>
      </c>
      <c r="N36" s="4" t="str">
        <f>"{ ""workOsisID"": """&amp;G36&amp;""", ""bookName"": """&amp;A36&amp;""", ""bookSubtitle"": """&amp;B36&amp;""", ""bookOsisID"": """&amp;C36&amp;""", ""paratext"": "&amp;IF(D36="","null",""""&amp;D36&amp;"""")&amp;", ""groups"": "&amp;E36&amp;", ""aliases"": "&amp;F36&amp;", ""chapterLabel"": """&amp;K36&amp;""", ""verseLabel"": """&amp;L36&amp;""", ""authors"": "&amp;H36&amp;", ""dateEarliest"": """&amp;I36&amp;""", ""dateLatest"": """&amp;J36&amp;""", ""hasData"": "&amp;M36&amp;" },"</f>
        <v>{ "workOsisID": "KJV", "bookName": "Habakkuk", "bookSubtitle": "The Book of Habakkuk", "bookOsisID": "Hab", "paratext": "HAB", "groups": ["Old Testament", "Bible"], "aliases": [], "chapterLabel": "Chapter", "verseLabel": "Verse", "authors": [], "dateEarliest": "", "dateLatest": "", "hasData": true },</v>
      </c>
    </row>
    <row r="37" spans="1:14" s="4" customFormat="1" x14ac:dyDescent="0.2">
      <c r="A37" s="4" t="s">
        <v>99</v>
      </c>
      <c r="B37" s="4" t="str">
        <f t="shared" si="1"/>
        <v>The Book of Zephaniah</v>
      </c>
      <c r="C37" s="4" t="s">
        <v>98</v>
      </c>
      <c r="D37" s="4" t="s">
        <v>100</v>
      </c>
      <c r="E37" s="4" t="s">
        <v>455</v>
      </c>
      <c r="F37" s="4" t="s">
        <v>1094</v>
      </c>
      <c r="G37" s="7" t="s">
        <v>491</v>
      </c>
      <c r="H37" s="7" t="s">
        <v>1094</v>
      </c>
      <c r="I37" s="7"/>
      <c r="J37" s="7"/>
      <c r="K37" s="4" t="s">
        <v>481</v>
      </c>
      <c r="L37" s="4" t="s">
        <v>485</v>
      </c>
      <c r="M37" s="4" t="str">
        <f t="shared" si="0"/>
        <v>true</v>
      </c>
      <c r="N37" s="4" t="str">
        <f>"{ ""workOsisID"": """&amp;G37&amp;""", ""bookName"": """&amp;A37&amp;""", ""bookSubtitle"": """&amp;B37&amp;""", ""bookOsisID"": """&amp;C37&amp;""", ""paratext"": "&amp;IF(D37="","null",""""&amp;D37&amp;"""")&amp;", ""groups"": "&amp;E37&amp;", ""aliases"": "&amp;F37&amp;", ""chapterLabel"": """&amp;K37&amp;""", ""verseLabel"": """&amp;L37&amp;""", ""authors"": "&amp;H37&amp;", ""dateEarliest"": """&amp;I37&amp;""", ""dateLatest"": """&amp;J37&amp;""", ""hasData"": "&amp;M37&amp;" },"</f>
        <v>{ "workOsisID": "KJV", "bookName": "Zephaniah", "bookSubtitle": "The Book of Zephaniah", "bookOsisID": "Zeph", "paratext": "ZEP", "groups": ["Old Testament", "Bible"], "aliases": [], "chapterLabel": "Chapter", "verseLabel": "Verse", "authors": [], "dateEarliest": "", "dateLatest": "", "hasData": true },</v>
      </c>
    </row>
    <row r="38" spans="1:14" s="4" customFormat="1" x14ac:dyDescent="0.2">
      <c r="A38" s="4" t="s">
        <v>102</v>
      </c>
      <c r="B38" s="4" t="str">
        <f t="shared" si="1"/>
        <v>The Book of Haggai</v>
      </c>
      <c r="C38" s="4" t="s">
        <v>101</v>
      </c>
      <c r="D38" s="4" t="s">
        <v>103</v>
      </c>
      <c r="E38" s="4" t="s">
        <v>455</v>
      </c>
      <c r="F38" s="4" t="s">
        <v>1094</v>
      </c>
      <c r="G38" s="7" t="s">
        <v>491</v>
      </c>
      <c r="H38" s="7" t="s">
        <v>1094</v>
      </c>
      <c r="I38" s="7"/>
      <c r="J38" s="7"/>
      <c r="K38" s="4" t="s">
        <v>481</v>
      </c>
      <c r="L38" s="4" t="s">
        <v>485</v>
      </c>
      <c r="M38" s="4" t="str">
        <f t="shared" si="0"/>
        <v>true</v>
      </c>
      <c r="N38" s="4" t="str">
        <f>"{ ""workOsisID"": """&amp;G38&amp;""", ""bookName"": """&amp;A38&amp;""", ""bookSubtitle"": """&amp;B38&amp;""", ""bookOsisID"": """&amp;C38&amp;""", ""paratext"": "&amp;IF(D38="","null",""""&amp;D38&amp;"""")&amp;", ""groups"": "&amp;E38&amp;", ""aliases"": "&amp;F38&amp;", ""chapterLabel"": """&amp;K38&amp;""", ""verseLabel"": """&amp;L38&amp;""", ""authors"": "&amp;H38&amp;", ""dateEarliest"": """&amp;I38&amp;""", ""dateLatest"": """&amp;J38&amp;""", ""hasData"": "&amp;M38&amp;" },"</f>
        <v>{ "workOsisID": "KJV", "bookName": "Haggai", "bookSubtitle": "The Book of Haggai", "bookOsisID": "Hag", "paratext": "HAG", "groups": ["Old Testament", "Bible"], "aliases": [], "chapterLabel": "Chapter", "verseLabel": "Verse", "authors": [], "dateEarliest": "", "dateLatest": "", "hasData": true },</v>
      </c>
    </row>
    <row r="39" spans="1:14" s="4" customFormat="1" x14ac:dyDescent="0.2">
      <c r="A39" s="4" t="s">
        <v>105</v>
      </c>
      <c r="B39" s="4" t="str">
        <f t="shared" si="1"/>
        <v>The Book of Zechariah</v>
      </c>
      <c r="C39" s="4" t="s">
        <v>104</v>
      </c>
      <c r="D39" s="4" t="s">
        <v>106</v>
      </c>
      <c r="E39" s="4" t="s">
        <v>455</v>
      </c>
      <c r="F39" s="4" t="s">
        <v>1094</v>
      </c>
      <c r="G39" s="7" t="s">
        <v>491</v>
      </c>
      <c r="H39" s="7" t="s">
        <v>1094</v>
      </c>
      <c r="I39" s="7"/>
      <c r="J39" s="7"/>
      <c r="K39" s="4" t="s">
        <v>481</v>
      </c>
      <c r="L39" s="4" t="s">
        <v>485</v>
      </c>
      <c r="M39" s="4" t="str">
        <f t="shared" si="0"/>
        <v>true</v>
      </c>
      <c r="N39" s="4" t="str">
        <f>"{ ""workOsisID"": """&amp;G39&amp;""", ""bookName"": """&amp;A39&amp;""", ""bookSubtitle"": """&amp;B39&amp;""", ""bookOsisID"": """&amp;C39&amp;""", ""paratext"": "&amp;IF(D39="","null",""""&amp;D39&amp;"""")&amp;", ""groups"": "&amp;E39&amp;", ""aliases"": "&amp;F39&amp;", ""chapterLabel"": """&amp;K39&amp;""", ""verseLabel"": """&amp;L39&amp;""", ""authors"": "&amp;H39&amp;", ""dateEarliest"": """&amp;I39&amp;""", ""dateLatest"": """&amp;J39&amp;""", ""hasData"": "&amp;M39&amp;" },"</f>
        <v>{ "workOsisID": "KJV", "bookName": "Zechariah", "bookSubtitle": "The Book of Zechariah", "bookOsisID": "Zech", "paratext": "ZEC", "groups": ["Old Testament", "Bible"], "aliases": [], "chapterLabel": "Chapter", "verseLabel": "Verse", "authors": [], "dateEarliest": "", "dateLatest": "", "hasData": true },</v>
      </c>
    </row>
    <row r="40" spans="1:14" s="4" customFormat="1" x14ac:dyDescent="0.2">
      <c r="A40" s="4" t="s">
        <v>108</v>
      </c>
      <c r="B40" s="4" t="str">
        <f t="shared" si="1"/>
        <v>The Book of Malachi</v>
      </c>
      <c r="C40" s="4" t="s">
        <v>107</v>
      </c>
      <c r="D40" s="4" t="s">
        <v>109</v>
      </c>
      <c r="E40" s="4" t="s">
        <v>455</v>
      </c>
      <c r="F40" s="4" t="s">
        <v>1094</v>
      </c>
      <c r="G40" s="7" t="s">
        <v>491</v>
      </c>
      <c r="H40" s="7" t="s">
        <v>1094</v>
      </c>
      <c r="I40" s="7"/>
      <c r="J40" s="7"/>
      <c r="K40" s="4" t="s">
        <v>481</v>
      </c>
      <c r="L40" s="4" t="s">
        <v>485</v>
      </c>
      <c r="M40" s="4" t="str">
        <f t="shared" si="0"/>
        <v>true</v>
      </c>
      <c r="N40" s="4" t="str">
        <f>"{ ""workOsisID"": """&amp;G40&amp;""", ""bookName"": """&amp;A40&amp;""", ""bookSubtitle"": """&amp;B40&amp;""", ""bookOsisID"": """&amp;C40&amp;""", ""paratext"": "&amp;IF(D40="","null",""""&amp;D40&amp;"""")&amp;", ""groups"": "&amp;E40&amp;", ""aliases"": "&amp;F40&amp;", ""chapterLabel"": """&amp;K40&amp;""", ""verseLabel"": """&amp;L40&amp;""", ""authors"": "&amp;H40&amp;", ""dateEarliest"": """&amp;I40&amp;""", ""dateLatest"": """&amp;J40&amp;""", ""hasData"": "&amp;M40&amp;" },"</f>
        <v>{ "workOsisID": "KJV", "bookName": "Malachi", "bookSubtitle": "The Book of Malachi", "bookOsisID": "Mal", "paratext": "MAL", "groups": ["Old Testament", "Bible"], "aliases": [], "chapterLabel": "Chapter", "verseLabel": "Verse", "authors": [], "dateEarliest": "", "dateLatest": "", "hasData": true },</v>
      </c>
    </row>
    <row r="41" spans="1:14" s="4" customFormat="1" x14ac:dyDescent="0.2">
      <c r="A41" s="4" t="s">
        <v>111</v>
      </c>
      <c r="B41" s="4" t="s">
        <v>500</v>
      </c>
      <c r="C41" s="4" t="s">
        <v>110</v>
      </c>
      <c r="D41" s="4" t="s">
        <v>112</v>
      </c>
      <c r="E41" s="4" t="s">
        <v>458</v>
      </c>
      <c r="F41" s="4" t="s">
        <v>1134</v>
      </c>
      <c r="G41" s="7" t="s">
        <v>491</v>
      </c>
      <c r="H41" s="7" t="s">
        <v>1018</v>
      </c>
      <c r="I41" s="7"/>
      <c r="J41" s="7"/>
      <c r="K41" s="4" t="s">
        <v>481</v>
      </c>
      <c r="L41" s="4" t="s">
        <v>485</v>
      </c>
      <c r="M41" s="4" t="str">
        <f t="shared" si="0"/>
        <v>true</v>
      </c>
      <c r="N41" s="4" t="str">
        <f>"{ ""workOsisID"": """&amp;G41&amp;""", ""bookName"": """&amp;A41&amp;""", ""bookSubtitle"": """&amp;B41&amp;""", ""bookOsisID"": """&amp;C41&amp;""", ""paratext"": "&amp;IF(D41="","null",""""&amp;D41&amp;"""")&amp;", ""groups"": "&amp;E41&amp;", ""aliases"": "&amp;F41&amp;", ""chapterLabel"": """&amp;K41&amp;""", ""verseLabel"": """&amp;L41&amp;""", ""authors"": "&amp;H41&amp;", ""dateEarliest"": """&amp;I41&amp;""", ""dateLatest"": """&amp;J41&amp;""", ""hasData"": "&amp;M41&amp;" },"</f>
        <v>{ "workOsisID": "KJV", "bookName": "Matthew", "bookSubtitle": "The Gospel According to St. Matthew", "bookOsisID": "Matt", "paratext": "MAT", "groups": ["New Testament", "Bible", "Gospels"], "aliases": ["St Matthew","St. Matthew","Saint Matthew","The Gospel According to St Matthew","The Gospel According to St. Matthew","The Gospel According to Saint Matthew"], "chapterLabel": "Chapter", "verseLabel": "Verse", "authors": ["St. Matthew"], "dateEarliest": "", "dateLatest": "", "hasData": true },</v>
      </c>
    </row>
    <row r="42" spans="1:14" s="4" customFormat="1" x14ac:dyDescent="0.2">
      <c r="A42" s="4" t="s">
        <v>113</v>
      </c>
      <c r="B42" s="4" t="s">
        <v>501</v>
      </c>
      <c r="C42" s="4" t="s">
        <v>113</v>
      </c>
      <c r="D42" s="4" t="s">
        <v>114</v>
      </c>
      <c r="E42" s="4" t="s">
        <v>458</v>
      </c>
      <c r="F42" s="4" t="s">
        <v>1135</v>
      </c>
      <c r="G42" s="7" t="s">
        <v>491</v>
      </c>
      <c r="H42" s="7" t="s">
        <v>1017</v>
      </c>
      <c r="I42" s="7"/>
      <c r="J42" s="7"/>
      <c r="K42" s="4" t="s">
        <v>481</v>
      </c>
      <c r="L42" s="4" t="s">
        <v>485</v>
      </c>
      <c r="M42" s="4" t="str">
        <f t="shared" si="0"/>
        <v>true</v>
      </c>
      <c r="N42" s="4" t="str">
        <f>"{ ""workOsisID"": """&amp;G42&amp;""", ""bookName"": """&amp;A42&amp;""", ""bookSubtitle"": """&amp;B42&amp;""", ""bookOsisID"": """&amp;C42&amp;""", ""paratext"": "&amp;IF(D42="","null",""""&amp;D42&amp;"""")&amp;", ""groups"": "&amp;E42&amp;", ""aliases"": "&amp;F42&amp;", ""chapterLabel"": """&amp;K42&amp;""", ""verseLabel"": """&amp;L42&amp;""", ""authors"": "&amp;H42&amp;", ""dateEarliest"": """&amp;I42&amp;""", ""dateLatest"": """&amp;J42&amp;""", ""hasData"": "&amp;M42&amp;" },"</f>
        <v>{ "workOsisID": "KJV", "bookName": "Mark", "bookSubtitle": "The Gospel According to St. Mark", "bookOsisID": "Mark", "paratext": "MRK", "groups": ["New Testament", "Bible", "Gospels"], "aliases": ["St Mark","St. Mark","Saint Mark","The Gospel According to St Mark","The Gospel According to St. Mark","The Gospel According to Saint Mark"], "chapterLabel": "Chapter", "verseLabel": "Verse", "authors": ["St. Mark"], "dateEarliest": "", "dateLatest": "", "hasData": true },</v>
      </c>
    </row>
    <row r="43" spans="1:14" s="4" customFormat="1" x14ac:dyDescent="0.2">
      <c r="A43" s="4" t="s">
        <v>115</v>
      </c>
      <c r="B43" s="4" t="s">
        <v>502</v>
      </c>
      <c r="C43" s="4" t="s">
        <v>115</v>
      </c>
      <c r="D43" s="4" t="s">
        <v>116</v>
      </c>
      <c r="E43" s="4" t="s">
        <v>458</v>
      </c>
      <c r="F43" s="4" t="s">
        <v>1136</v>
      </c>
      <c r="G43" s="7" t="s">
        <v>491</v>
      </c>
      <c r="H43" s="7" t="s">
        <v>1016</v>
      </c>
      <c r="I43" s="7"/>
      <c r="J43" s="7"/>
      <c r="K43" s="4" t="s">
        <v>481</v>
      </c>
      <c r="L43" s="4" t="s">
        <v>485</v>
      </c>
      <c r="M43" s="4" t="str">
        <f t="shared" si="0"/>
        <v>true</v>
      </c>
      <c r="N43" s="4" t="str">
        <f>"{ ""workOsisID"": """&amp;G43&amp;""", ""bookName"": """&amp;A43&amp;""", ""bookSubtitle"": """&amp;B43&amp;""", ""bookOsisID"": """&amp;C43&amp;""", ""paratext"": "&amp;IF(D43="","null",""""&amp;D43&amp;"""")&amp;", ""groups"": "&amp;E43&amp;", ""aliases"": "&amp;F43&amp;", ""chapterLabel"": """&amp;K43&amp;""", ""verseLabel"": """&amp;L43&amp;""", ""authors"": "&amp;H43&amp;", ""dateEarliest"": """&amp;I43&amp;""", ""dateLatest"": """&amp;J43&amp;""", ""hasData"": "&amp;M43&amp;" },"</f>
        <v>{ "workOsisID": "KJV", "bookName": "Luke", "bookSubtitle": "The Gospel According to St. Luke", "bookOsisID": "Luke", "paratext": "LUK", "groups": ["New Testament", "Bible", "Gospels"], "aliases": ["St Luke","St. Luke","Saint Luke","The Gospel According to St Luke","The Gospel According to St. Luke","The Gospel According to Saint Luke"], "chapterLabel": "Chapter", "verseLabel": "Verse", "authors": ["St. Luke"], "dateEarliest": "", "dateLatest": "", "hasData": true },</v>
      </c>
    </row>
    <row r="44" spans="1:14" s="4" customFormat="1" x14ac:dyDescent="0.2">
      <c r="A44" s="4" t="s">
        <v>117</v>
      </c>
      <c r="B44" s="4" t="s">
        <v>503</v>
      </c>
      <c r="C44" s="4" t="s">
        <v>117</v>
      </c>
      <c r="D44" s="4" t="s">
        <v>118</v>
      </c>
      <c r="E44" s="4" t="s">
        <v>458</v>
      </c>
      <c r="F44" s="4" t="s">
        <v>1137</v>
      </c>
      <c r="G44" s="7" t="s">
        <v>491</v>
      </c>
      <c r="H44" s="7" t="s">
        <v>1014</v>
      </c>
      <c r="I44" s="7"/>
      <c r="J44" s="7"/>
      <c r="K44" s="4" t="s">
        <v>481</v>
      </c>
      <c r="L44" s="4" t="s">
        <v>485</v>
      </c>
      <c r="M44" s="4" t="str">
        <f t="shared" si="0"/>
        <v>true</v>
      </c>
      <c r="N44" s="4" t="str">
        <f>"{ ""workOsisID"": """&amp;G44&amp;""", ""bookName"": """&amp;A44&amp;""", ""bookSubtitle"": """&amp;B44&amp;""", ""bookOsisID"": """&amp;C44&amp;""", ""paratext"": "&amp;IF(D44="","null",""""&amp;D44&amp;"""")&amp;", ""groups"": "&amp;E44&amp;", ""aliases"": "&amp;F44&amp;", ""chapterLabel"": """&amp;K44&amp;""", ""verseLabel"": """&amp;L44&amp;""", ""authors"": "&amp;H44&amp;", ""dateEarliest"": """&amp;I44&amp;""", ""dateLatest"": """&amp;J44&amp;""", ""hasData"": "&amp;M44&amp;" },"</f>
        <v>{ "workOsisID": "KJV", "bookName": "John", "bookSubtitle": "The Gospel According to St. John", "bookOsisID": "John", "paratext": "JHN", "groups": ["New Testament", "Bible", "Gospels"], "aliases": ["St John","St. John","Saint John","The Gospel According to St John","The Gospel According to St. John","The Gospel According to Saint John"], "chapterLabel": "Chapter", "verseLabel": "Verse", "authors": ["St. John"], "dateEarliest": "", "dateLatest": "", "hasData": true },</v>
      </c>
    </row>
    <row r="45" spans="1:14" s="4" customFormat="1" x14ac:dyDescent="0.2">
      <c r="A45" s="4" t="s">
        <v>119</v>
      </c>
      <c r="B45" s="4" t="s">
        <v>504</v>
      </c>
      <c r="C45" s="4" t="s">
        <v>119</v>
      </c>
      <c r="D45" s="4" t="s">
        <v>120</v>
      </c>
      <c r="E45" s="4" t="s">
        <v>459</v>
      </c>
      <c r="F45" s="4" t="s">
        <v>1094</v>
      </c>
      <c r="G45" s="7" t="s">
        <v>491</v>
      </c>
      <c r="H45" s="7" t="s">
        <v>1094</v>
      </c>
      <c r="I45" s="7"/>
      <c r="J45" s="7"/>
      <c r="K45" s="4" t="s">
        <v>481</v>
      </c>
      <c r="L45" s="4" t="s">
        <v>485</v>
      </c>
      <c r="M45" s="4" t="str">
        <f t="shared" si="0"/>
        <v>true</v>
      </c>
      <c r="N45" s="4" t="str">
        <f>"{ ""workOsisID"": """&amp;G45&amp;""", ""bookName"": """&amp;A45&amp;""", ""bookSubtitle"": """&amp;B45&amp;""", ""bookOsisID"": """&amp;C45&amp;""", ""paratext"": "&amp;IF(D45="","null",""""&amp;D45&amp;"""")&amp;", ""groups"": "&amp;E45&amp;", ""aliases"": "&amp;F45&amp;", ""chapterLabel"": """&amp;K45&amp;""", ""verseLabel"": """&amp;L45&amp;""", ""authors"": "&amp;H45&amp;", ""dateEarliest"": """&amp;I45&amp;""", ""dateLatest"": """&amp;J45&amp;""", ""hasData"": "&amp;M45&amp;" },"</f>
        <v>{ "workOsisID": "KJV", "bookName": "Acts", "bookSubtitle": "The Acts of the Apostles", "bookOsisID": "Acts", "paratext": "ACT", "groups": ["New Testament", "Bible"], "aliases": [], "chapterLabel": "Chapter", "verseLabel": "Verse", "authors": [], "dateEarliest": "", "dateLatest": "", "hasData": true },</v>
      </c>
    </row>
    <row r="46" spans="1:14" s="4" customFormat="1" x14ac:dyDescent="0.2">
      <c r="A46" s="4" t="s">
        <v>122</v>
      </c>
      <c r="B46" s="4" t="s">
        <v>505</v>
      </c>
      <c r="C46" s="4" t="s">
        <v>121</v>
      </c>
      <c r="D46" s="4" t="s">
        <v>123</v>
      </c>
      <c r="E46" s="4" t="s">
        <v>460</v>
      </c>
      <c r="F46" s="4" t="s">
        <v>1094</v>
      </c>
      <c r="G46" s="7" t="s">
        <v>491</v>
      </c>
      <c r="H46" s="7" t="s">
        <v>1015</v>
      </c>
      <c r="I46" s="7"/>
      <c r="J46" s="7"/>
      <c r="K46" s="4" t="s">
        <v>481</v>
      </c>
      <c r="L46" s="4" t="s">
        <v>485</v>
      </c>
      <c r="M46" s="4" t="str">
        <f t="shared" si="0"/>
        <v>true</v>
      </c>
      <c r="N46" s="4" t="str">
        <f>"{ ""workOsisID"": """&amp;G46&amp;""", ""bookName"": """&amp;A46&amp;""", ""bookSubtitle"": """&amp;B46&amp;""", ""bookOsisID"": """&amp;C46&amp;""", ""paratext"": "&amp;IF(D46="","null",""""&amp;D46&amp;"""")&amp;", ""groups"": "&amp;E46&amp;", ""aliases"": "&amp;F46&amp;", ""chapterLabel"": """&amp;K46&amp;""", ""verseLabel"": """&amp;L46&amp;""", ""authors"": "&amp;H46&amp;", ""dateEarliest"": """&amp;I46&amp;""", ""dateLatest"": """&amp;J46&amp;""", ""hasData"": "&amp;M46&amp;" },"</f>
        <v>{ "workOsisID": "KJV", "bookName": "Romans", "bookSubtitle": "The Epistle of Paul to the Romans ", "bookOsisID": "Rom", "paratext": "ROM", "groups": ["New Testament", "Bible", "Pauline Epistles"], "aliases": [], "chapterLabel": "Chapter", "verseLabel": "Verse", "authors": ["Paul"], "dateEarliest": "", "dateLatest": "", "hasData": true },</v>
      </c>
    </row>
    <row r="47" spans="1:14" s="4" customFormat="1" x14ac:dyDescent="0.2">
      <c r="A47" s="4" t="s">
        <v>125</v>
      </c>
      <c r="B47" s="4" t="s">
        <v>506</v>
      </c>
      <c r="C47" s="4" t="s">
        <v>124</v>
      </c>
      <c r="D47" s="4" t="s">
        <v>126</v>
      </c>
      <c r="E47" s="4" t="s">
        <v>460</v>
      </c>
      <c r="F47" s="4" t="s">
        <v>1094</v>
      </c>
      <c r="G47" s="7" t="s">
        <v>491</v>
      </c>
      <c r="H47" s="7" t="s">
        <v>1015</v>
      </c>
      <c r="I47" s="7"/>
      <c r="J47" s="7"/>
      <c r="K47" s="4" t="s">
        <v>481</v>
      </c>
      <c r="L47" s="4" t="s">
        <v>485</v>
      </c>
      <c r="M47" s="4" t="str">
        <f t="shared" si="0"/>
        <v>true</v>
      </c>
      <c r="N47" s="4" t="str">
        <f>"{ ""workOsisID"": """&amp;G47&amp;""", ""bookName"": """&amp;A47&amp;""", ""bookSubtitle"": """&amp;B47&amp;""", ""bookOsisID"": """&amp;C47&amp;""", ""paratext"": "&amp;IF(D47="","null",""""&amp;D47&amp;"""")&amp;", ""groups"": "&amp;E47&amp;", ""aliases"": "&amp;F47&amp;", ""chapterLabel"": """&amp;K47&amp;""", ""verseLabel"": """&amp;L47&amp;""", ""authors"": "&amp;H47&amp;", ""dateEarliest"": """&amp;I47&amp;""", ""dateLatest"": """&amp;J47&amp;""", ""hasData"": "&amp;M47&amp;" },"</f>
        <v>{ "workOsisID": "KJV", "bookName": "1 Corinthians", "bookSubtitle": "The First Epistle of Paul to the Corinthians ", "bookOsisID": "1Cor", "paratext": "1CO", "groups": ["New Testament", "Bible", "Pauline Epistles"], "aliases": [], "chapterLabel": "Chapter", "verseLabel": "Verse", "authors": ["Paul"], "dateEarliest": "", "dateLatest": "", "hasData": true },</v>
      </c>
    </row>
    <row r="48" spans="1:14" s="4" customFormat="1" x14ac:dyDescent="0.2">
      <c r="A48" s="4" t="s">
        <v>128</v>
      </c>
      <c r="B48" s="4" t="s">
        <v>507</v>
      </c>
      <c r="C48" s="4" t="s">
        <v>127</v>
      </c>
      <c r="D48" s="4" t="s">
        <v>129</v>
      </c>
      <c r="E48" s="4" t="s">
        <v>460</v>
      </c>
      <c r="F48" s="4" t="s">
        <v>1094</v>
      </c>
      <c r="G48" s="7" t="s">
        <v>491</v>
      </c>
      <c r="H48" s="7" t="s">
        <v>1015</v>
      </c>
      <c r="I48" s="7"/>
      <c r="J48" s="7"/>
      <c r="K48" s="4" t="s">
        <v>481</v>
      </c>
      <c r="L48" s="4" t="s">
        <v>485</v>
      </c>
      <c r="M48" s="4" t="str">
        <f t="shared" si="0"/>
        <v>true</v>
      </c>
      <c r="N48" s="4" t="str">
        <f>"{ ""workOsisID"": """&amp;G48&amp;""", ""bookName"": """&amp;A48&amp;""", ""bookSubtitle"": """&amp;B48&amp;""", ""bookOsisID"": """&amp;C48&amp;""", ""paratext"": "&amp;IF(D48="","null",""""&amp;D48&amp;"""")&amp;", ""groups"": "&amp;E48&amp;", ""aliases"": "&amp;F48&amp;", ""chapterLabel"": """&amp;K48&amp;""", ""verseLabel"": """&amp;L48&amp;""", ""authors"": "&amp;H48&amp;", ""dateEarliest"": """&amp;I48&amp;""", ""dateLatest"": """&amp;J48&amp;""", ""hasData"": "&amp;M48&amp;" },"</f>
        <v>{ "workOsisID": "KJV", "bookName": "2 Corinthians", "bookSubtitle": "The Second Epistle of Paul to the Corinthians ", "bookOsisID": "2Cor", "paratext": "2CO", "groups": ["New Testament", "Bible", "Pauline Epistles"], "aliases": [], "chapterLabel": "Chapter", "verseLabel": "Verse", "authors": ["Paul"], "dateEarliest": "", "dateLatest": "", "hasData": true },</v>
      </c>
    </row>
    <row r="49" spans="1:14" s="4" customFormat="1" x14ac:dyDescent="0.2">
      <c r="A49" s="4" t="s">
        <v>131</v>
      </c>
      <c r="B49" s="4" t="s">
        <v>508</v>
      </c>
      <c r="C49" s="4" t="s">
        <v>130</v>
      </c>
      <c r="D49" s="4" t="s">
        <v>132</v>
      </c>
      <c r="E49" s="4" t="s">
        <v>460</v>
      </c>
      <c r="F49" s="4" t="s">
        <v>1094</v>
      </c>
      <c r="G49" s="7" t="s">
        <v>491</v>
      </c>
      <c r="H49" s="7" t="s">
        <v>1015</v>
      </c>
      <c r="I49" s="7"/>
      <c r="J49" s="7"/>
      <c r="K49" s="4" t="s">
        <v>481</v>
      </c>
      <c r="L49" s="4" t="s">
        <v>485</v>
      </c>
      <c r="M49" s="4" t="str">
        <f t="shared" si="0"/>
        <v>true</v>
      </c>
      <c r="N49" s="4" t="str">
        <f>"{ ""workOsisID"": """&amp;G49&amp;""", ""bookName"": """&amp;A49&amp;""", ""bookSubtitle"": """&amp;B49&amp;""", ""bookOsisID"": """&amp;C49&amp;""", ""paratext"": "&amp;IF(D49="","null",""""&amp;D49&amp;"""")&amp;", ""groups"": "&amp;E49&amp;", ""aliases"": "&amp;F49&amp;", ""chapterLabel"": """&amp;K49&amp;""", ""verseLabel"": """&amp;L49&amp;""", ""authors"": "&amp;H49&amp;", ""dateEarliest"": """&amp;I49&amp;""", ""dateLatest"": """&amp;J49&amp;""", ""hasData"": "&amp;M49&amp;" },"</f>
        <v>{ "workOsisID": "KJV", "bookName": "Galatians", "bookSubtitle": "The Epistle of Paul to the Galatians ", "bookOsisID": "Gal", "paratext": "GAL", "groups": ["New Testament", "Bible", "Pauline Epistles"], "aliases": [], "chapterLabel": "Chapter", "verseLabel": "Verse", "authors": ["Paul"], "dateEarliest": "", "dateLatest": "", "hasData": true },</v>
      </c>
    </row>
    <row r="50" spans="1:14" s="4" customFormat="1" x14ac:dyDescent="0.2">
      <c r="A50" s="4" t="s">
        <v>134</v>
      </c>
      <c r="B50" s="4" t="s">
        <v>509</v>
      </c>
      <c r="C50" s="4" t="s">
        <v>133</v>
      </c>
      <c r="D50" s="4" t="s">
        <v>135</v>
      </c>
      <c r="E50" s="4" t="s">
        <v>460</v>
      </c>
      <c r="F50" s="4" t="s">
        <v>1094</v>
      </c>
      <c r="G50" s="7" t="s">
        <v>491</v>
      </c>
      <c r="H50" s="7" t="s">
        <v>1015</v>
      </c>
      <c r="I50" s="7"/>
      <c r="J50" s="7"/>
      <c r="K50" s="4" t="s">
        <v>481</v>
      </c>
      <c r="L50" s="4" t="s">
        <v>485</v>
      </c>
      <c r="M50" s="4" t="str">
        <f t="shared" si="0"/>
        <v>true</v>
      </c>
      <c r="N50" s="4" t="str">
        <f>"{ ""workOsisID"": """&amp;G50&amp;""", ""bookName"": """&amp;A50&amp;""", ""bookSubtitle"": """&amp;B50&amp;""", ""bookOsisID"": """&amp;C50&amp;""", ""paratext"": "&amp;IF(D50="","null",""""&amp;D50&amp;"""")&amp;", ""groups"": "&amp;E50&amp;", ""aliases"": "&amp;F50&amp;", ""chapterLabel"": """&amp;K50&amp;""", ""verseLabel"": """&amp;L50&amp;""", ""authors"": "&amp;H50&amp;", ""dateEarliest"": """&amp;I50&amp;""", ""dateLatest"": """&amp;J50&amp;""", ""hasData"": "&amp;M50&amp;" },"</f>
        <v>{ "workOsisID": "KJV", "bookName": "Ephesians", "bookSubtitle": "The Epistle of Paul to the Ephesians ", "bookOsisID": "Eph", "paratext": "EPH", "groups": ["New Testament", "Bible", "Pauline Epistles"], "aliases": [], "chapterLabel": "Chapter", "verseLabel": "Verse", "authors": ["Paul"], "dateEarliest": "", "dateLatest": "", "hasData": true },</v>
      </c>
    </row>
    <row r="51" spans="1:14" s="4" customFormat="1" x14ac:dyDescent="0.2">
      <c r="A51" s="4" t="s">
        <v>137</v>
      </c>
      <c r="B51" s="4" t="s">
        <v>510</v>
      </c>
      <c r="C51" s="4" t="s">
        <v>136</v>
      </c>
      <c r="D51" s="4" t="s">
        <v>138</v>
      </c>
      <c r="E51" s="4" t="s">
        <v>460</v>
      </c>
      <c r="F51" s="4" t="s">
        <v>1094</v>
      </c>
      <c r="G51" s="7" t="s">
        <v>491</v>
      </c>
      <c r="H51" s="7" t="s">
        <v>1015</v>
      </c>
      <c r="I51" s="7"/>
      <c r="J51" s="7"/>
      <c r="K51" s="4" t="s">
        <v>481</v>
      </c>
      <c r="L51" s="4" t="s">
        <v>485</v>
      </c>
      <c r="M51" s="4" t="str">
        <f t="shared" si="0"/>
        <v>true</v>
      </c>
      <c r="N51" s="4" t="str">
        <f>"{ ""workOsisID"": """&amp;G51&amp;""", ""bookName"": """&amp;A51&amp;""", ""bookSubtitle"": """&amp;B51&amp;""", ""bookOsisID"": """&amp;C51&amp;""", ""paratext"": "&amp;IF(D51="","null",""""&amp;D51&amp;"""")&amp;", ""groups"": "&amp;E51&amp;", ""aliases"": "&amp;F51&amp;", ""chapterLabel"": """&amp;K51&amp;""", ""verseLabel"": """&amp;L51&amp;""", ""authors"": "&amp;H51&amp;", ""dateEarliest"": """&amp;I51&amp;""", ""dateLatest"": """&amp;J51&amp;""", ""hasData"": "&amp;M51&amp;" },"</f>
        <v>{ "workOsisID": "KJV", "bookName": "Philippians", "bookSubtitle": "The Epistle of Paul to the Philippians ", "bookOsisID": "Phil", "paratext": "PHP", "groups": ["New Testament", "Bible", "Pauline Epistles"], "aliases": [], "chapterLabel": "Chapter", "verseLabel": "Verse", "authors": ["Paul"], "dateEarliest": "", "dateLatest": "", "hasData": true },</v>
      </c>
    </row>
    <row r="52" spans="1:14" s="4" customFormat="1" x14ac:dyDescent="0.2">
      <c r="A52" s="4" t="s">
        <v>140</v>
      </c>
      <c r="B52" s="4" t="s">
        <v>511</v>
      </c>
      <c r="C52" s="4" t="s">
        <v>139</v>
      </c>
      <c r="D52" s="4" t="s">
        <v>141</v>
      </c>
      <c r="E52" s="4" t="s">
        <v>460</v>
      </c>
      <c r="F52" s="4" t="s">
        <v>1094</v>
      </c>
      <c r="G52" s="7" t="s">
        <v>491</v>
      </c>
      <c r="H52" s="7" t="s">
        <v>1015</v>
      </c>
      <c r="I52" s="7"/>
      <c r="J52" s="7"/>
      <c r="K52" s="4" t="s">
        <v>481</v>
      </c>
      <c r="L52" s="4" t="s">
        <v>485</v>
      </c>
      <c r="M52" s="4" t="str">
        <f t="shared" si="0"/>
        <v>true</v>
      </c>
      <c r="N52" s="4" t="str">
        <f>"{ ""workOsisID"": """&amp;G52&amp;""", ""bookName"": """&amp;A52&amp;""", ""bookSubtitle"": """&amp;B52&amp;""", ""bookOsisID"": """&amp;C52&amp;""", ""paratext"": "&amp;IF(D52="","null",""""&amp;D52&amp;"""")&amp;", ""groups"": "&amp;E52&amp;", ""aliases"": "&amp;F52&amp;", ""chapterLabel"": """&amp;K52&amp;""", ""verseLabel"": """&amp;L52&amp;""", ""authors"": "&amp;H52&amp;", ""dateEarliest"": """&amp;I52&amp;""", ""dateLatest"": """&amp;J52&amp;""", ""hasData"": "&amp;M52&amp;" },"</f>
        <v>{ "workOsisID": "KJV", "bookName": "Colossians", "bookSubtitle": "The Epistle of Paul to the Colossians ", "bookOsisID": "Col", "paratext": "COL", "groups": ["New Testament", "Bible", "Pauline Epistles"], "aliases": [], "chapterLabel": "Chapter", "verseLabel": "Verse", "authors": ["Paul"], "dateEarliest": "", "dateLatest": "", "hasData": true },</v>
      </c>
    </row>
    <row r="53" spans="1:14" s="4" customFormat="1" x14ac:dyDescent="0.2">
      <c r="A53" s="4" t="s">
        <v>143</v>
      </c>
      <c r="B53" s="4" t="s">
        <v>512</v>
      </c>
      <c r="C53" s="4" t="s">
        <v>142</v>
      </c>
      <c r="D53" s="4" t="s">
        <v>144</v>
      </c>
      <c r="E53" s="4" t="s">
        <v>460</v>
      </c>
      <c r="F53" s="4" t="s">
        <v>1094</v>
      </c>
      <c r="G53" s="7" t="s">
        <v>491</v>
      </c>
      <c r="H53" s="7" t="s">
        <v>1015</v>
      </c>
      <c r="I53" s="7"/>
      <c r="J53" s="7"/>
      <c r="K53" s="4" t="s">
        <v>481</v>
      </c>
      <c r="L53" s="4" t="s">
        <v>485</v>
      </c>
      <c r="M53" s="4" t="str">
        <f t="shared" si="0"/>
        <v>true</v>
      </c>
      <c r="N53" s="4" t="str">
        <f>"{ ""workOsisID"": """&amp;G53&amp;""", ""bookName"": """&amp;A53&amp;""", ""bookSubtitle"": """&amp;B53&amp;""", ""bookOsisID"": """&amp;C53&amp;""", ""paratext"": "&amp;IF(D53="","null",""""&amp;D53&amp;"""")&amp;", ""groups"": "&amp;E53&amp;", ""aliases"": "&amp;F53&amp;", ""chapterLabel"": """&amp;K53&amp;""", ""verseLabel"": """&amp;L53&amp;""", ""authors"": "&amp;H53&amp;", ""dateEarliest"": """&amp;I53&amp;""", ""dateLatest"": """&amp;J53&amp;""", ""hasData"": "&amp;M53&amp;" },"</f>
        <v>{ "workOsisID": "KJV", "bookName": "1 Thessalonians", "bookSubtitle": "The First Epistle of Paul to the Thessalonians ", "bookOsisID": "1Thess", "paratext": "1TH", "groups": ["New Testament", "Bible", "Pauline Epistles"], "aliases": [], "chapterLabel": "Chapter", "verseLabel": "Verse", "authors": ["Paul"], "dateEarliest": "", "dateLatest": "", "hasData": true },</v>
      </c>
    </row>
    <row r="54" spans="1:14" s="4" customFormat="1" x14ac:dyDescent="0.2">
      <c r="A54" s="4" t="s">
        <v>146</v>
      </c>
      <c r="B54" s="4" t="s">
        <v>513</v>
      </c>
      <c r="C54" s="4" t="s">
        <v>145</v>
      </c>
      <c r="D54" s="4" t="s">
        <v>147</v>
      </c>
      <c r="E54" s="4" t="s">
        <v>460</v>
      </c>
      <c r="F54" s="4" t="s">
        <v>1094</v>
      </c>
      <c r="G54" s="7" t="s">
        <v>491</v>
      </c>
      <c r="H54" s="7" t="s">
        <v>1015</v>
      </c>
      <c r="I54" s="7"/>
      <c r="J54" s="7"/>
      <c r="K54" s="4" t="s">
        <v>481</v>
      </c>
      <c r="L54" s="4" t="s">
        <v>485</v>
      </c>
      <c r="M54" s="4" t="str">
        <f t="shared" si="0"/>
        <v>true</v>
      </c>
      <c r="N54" s="4" t="str">
        <f>"{ ""workOsisID"": """&amp;G54&amp;""", ""bookName"": """&amp;A54&amp;""", ""bookSubtitle"": """&amp;B54&amp;""", ""bookOsisID"": """&amp;C54&amp;""", ""paratext"": "&amp;IF(D54="","null",""""&amp;D54&amp;"""")&amp;", ""groups"": "&amp;E54&amp;", ""aliases"": "&amp;F54&amp;", ""chapterLabel"": """&amp;K54&amp;""", ""verseLabel"": """&amp;L54&amp;""", ""authors"": "&amp;H54&amp;", ""dateEarliest"": """&amp;I54&amp;""", ""dateLatest"": """&amp;J54&amp;""", ""hasData"": "&amp;M54&amp;" },"</f>
        <v>{ "workOsisID": "KJV", "bookName": "2 Thessalonians", "bookSubtitle": "The Second Epistle of Paul to the Thessalonians ", "bookOsisID": "2Thess", "paratext": "2TH", "groups": ["New Testament", "Bible", "Pauline Epistles"], "aliases": [], "chapterLabel": "Chapter", "verseLabel": "Verse", "authors": ["Paul"], "dateEarliest": "", "dateLatest": "", "hasData": true },</v>
      </c>
    </row>
    <row r="55" spans="1:14" s="4" customFormat="1" x14ac:dyDescent="0.2">
      <c r="A55" s="4" t="s">
        <v>149</v>
      </c>
      <c r="B55" s="4" t="s">
        <v>514</v>
      </c>
      <c r="C55" s="4" t="s">
        <v>148</v>
      </c>
      <c r="D55" s="4" t="s">
        <v>150</v>
      </c>
      <c r="E55" s="4" t="s">
        <v>460</v>
      </c>
      <c r="F55" s="4" t="s">
        <v>1094</v>
      </c>
      <c r="G55" s="7" t="s">
        <v>491</v>
      </c>
      <c r="H55" s="7" t="s">
        <v>1015</v>
      </c>
      <c r="I55" s="7"/>
      <c r="J55" s="7"/>
      <c r="K55" s="4" t="s">
        <v>481</v>
      </c>
      <c r="L55" s="4" t="s">
        <v>485</v>
      </c>
      <c r="M55" s="4" t="str">
        <f t="shared" si="0"/>
        <v>true</v>
      </c>
      <c r="N55" s="4" t="str">
        <f>"{ ""workOsisID"": """&amp;G55&amp;""", ""bookName"": """&amp;A55&amp;""", ""bookSubtitle"": """&amp;B55&amp;""", ""bookOsisID"": """&amp;C55&amp;""", ""paratext"": "&amp;IF(D55="","null",""""&amp;D55&amp;"""")&amp;", ""groups"": "&amp;E55&amp;", ""aliases"": "&amp;F55&amp;", ""chapterLabel"": """&amp;K55&amp;""", ""verseLabel"": """&amp;L55&amp;""", ""authors"": "&amp;H55&amp;", ""dateEarliest"": """&amp;I55&amp;""", ""dateLatest"": """&amp;J55&amp;""", ""hasData"": "&amp;M55&amp;" },"</f>
        <v>{ "workOsisID": "KJV", "bookName": "1 Timothy", "bookSubtitle": "The First Epistle of Paul to Timothy ", "bookOsisID": "1Tim", "paratext": "1TI", "groups": ["New Testament", "Bible", "Pauline Epistles"], "aliases": [], "chapterLabel": "Chapter", "verseLabel": "Verse", "authors": ["Paul"], "dateEarliest": "", "dateLatest": "", "hasData": true },</v>
      </c>
    </row>
    <row r="56" spans="1:14" s="4" customFormat="1" x14ac:dyDescent="0.2">
      <c r="A56" s="4" t="s">
        <v>152</v>
      </c>
      <c r="B56" s="4" t="s">
        <v>515</v>
      </c>
      <c r="C56" s="4" t="s">
        <v>151</v>
      </c>
      <c r="D56" s="4" t="s">
        <v>153</v>
      </c>
      <c r="E56" s="4" t="s">
        <v>460</v>
      </c>
      <c r="F56" s="4" t="s">
        <v>1094</v>
      </c>
      <c r="G56" s="7" t="s">
        <v>491</v>
      </c>
      <c r="H56" s="7" t="s">
        <v>1015</v>
      </c>
      <c r="I56" s="7"/>
      <c r="J56" s="7"/>
      <c r="K56" s="4" t="s">
        <v>481</v>
      </c>
      <c r="L56" s="4" t="s">
        <v>485</v>
      </c>
      <c r="M56" s="4" t="str">
        <f t="shared" si="0"/>
        <v>true</v>
      </c>
      <c r="N56" s="4" t="str">
        <f>"{ ""workOsisID"": """&amp;G56&amp;""", ""bookName"": """&amp;A56&amp;""", ""bookSubtitle"": """&amp;B56&amp;""", ""bookOsisID"": """&amp;C56&amp;""", ""paratext"": "&amp;IF(D56="","null",""""&amp;D56&amp;"""")&amp;", ""groups"": "&amp;E56&amp;", ""aliases"": "&amp;F56&amp;", ""chapterLabel"": """&amp;K56&amp;""", ""verseLabel"": """&amp;L56&amp;""", ""authors"": "&amp;H56&amp;", ""dateEarliest"": """&amp;I56&amp;""", ""dateLatest"": """&amp;J56&amp;""", ""hasData"": "&amp;M56&amp;" },"</f>
        <v>{ "workOsisID": "KJV", "bookName": "2 Timothy", "bookSubtitle": "The Second Epistle of Paul to Timothy ", "bookOsisID": "2Tim", "paratext": "2TI", "groups": ["New Testament", "Bible", "Pauline Epistles"], "aliases": [], "chapterLabel": "Chapter", "verseLabel": "Verse", "authors": ["Paul"], "dateEarliest": "", "dateLatest": "", "hasData": true },</v>
      </c>
    </row>
    <row r="57" spans="1:14" s="4" customFormat="1" x14ac:dyDescent="0.2">
      <c r="A57" s="4" t="s">
        <v>154</v>
      </c>
      <c r="B57" s="4" t="s">
        <v>516</v>
      </c>
      <c r="C57" s="4" t="s">
        <v>154</v>
      </c>
      <c r="D57" s="4" t="s">
        <v>155</v>
      </c>
      <c r="E57" s="4" t="s">
        <v>460</v>
      </c>
      <c r="F57" s="4" t="s">
        <v>1094</v>
      </c>
      <c r="G57" s="7" t="s">
        <v>491</v>
      </c>
      <c r="H57" s="7" t="s">
        <v>1015</v>
      </c>
      <c r="I57" s="7"/>
      <c r="J57" s="7"/>
      <c r="K57" s="4" t="s">
        <v>481</v>
      </c>
      <c r="L57" s="4" t="s">
        <v>485</v>
      </c>
      <c r="M57" s="4" t="str">
        <f t="shared" si="0"/>
        <v>true</v>
      </c>
      <c r="N57" s="4" t="str">
        <f>"{ ""workOsisID"": """&amp;G57&amp;""", ""bookName"": """&amp;A57&amp;""", ""bookSubtitle"": """&amp;B57&amp;""", ""bookOsisID"": """&amp;C57&amp;""", ""paratext"": "&amp;IF(D57="","null",""""&amp;D57&amp;"""")&amp;", ""groups"": "&amp;E57&amp;", ""aliases"": "&amp;F57&amp;", ""chapterLabel"": """&amp;K57&amp;""", ""verseLabel"": """&amp;L57&amp;""", ""authors"": "&amp;H57&amp;", ""dateEarliest"": """&amp;I57&amp;""", ""dateLatest"": """&amp;J57&amp;""", ""hasData"": "&amp;M57&amp;" },"</f>
        <v>{ "workOsisID": "KJV", "bookName": "Titus", "bookSubtitle": "The Epistle of Paul to Titus ", "bookOsisID": "Titus", "paratext": "TIT", "groups": ["New Testament", "Bible", "Pauline Epistles"], "aliases": [], "chapterLabel": "Chapter", "verseLabel": "Verse", "authors": ["Paul"], "dateEarliest": "", "dateLatest": "", "hasData": true },</v>
      </c>
    </row>
    <row r="58" spans="1:14" s="4" customFormat="1" x14ac:dyDescent="0.2">
      <c r="A58" s="4" t="s">
        <v>157</v>
      </c>
      <c r="B58" s="4" t="s">
        <v>517</v>
      </c>
      <c r="C58" s="4" t="s">
        <v>156</v>
      </c>
      <c r="D58" s="4" t="s">
        <v>158</v>
      </c>
      <c r="E58" s="4" t="s">
        <v>460</v>
      </c>
      <c r="F58" s="4" t="s">
        <v>1094</v>
      </c>
      <c r="G58" s="7" t="s">
        <v>491</v>
      </c>
      <c r="H58" s="7" t="s">
        <v>1015</v>
      </c>
      <c r="I58" s="7"/>
      <c r="J58" s="7"/>
      <c r="K58" s="4" t="s">
        <v>481</v>
      </c>
      <c r="L58" s="4" t="s">
        <v>485</v>
      </c>
      <c r="M58" s="4" t="str">
        <f t="shared" si="0"/>
        <v>true</v>
      </c>
      <c r="N58" s="4" t="str">
        <f>"{ ""workOsisID"": """&amp;G58&amp;""", ""bookName"": """&amp;A58&amp;""", ""bookSubtitle"": """&amp;B58&amp;""", ""bookOsisID"": """&amp;C58&amp;""", ""paratext"": "&amp;IF(D58="","null",""""&amp;D58&amp;"""")&amp;", ""groups"": "&amp;E58&amp;", ""aliases"": "&amp;F58&amp;", ""chapterLabel"": """&amp;K58&amp;""", ""verseLabel"": """&amp;L58&amp;""", ""authors"": "&amp;H58&amp;", ""dateEarliest"": """&amp;I58&amp;""", ""dateLatest"": """&amp;J58&amp;""", ""hasData"": "&amp;M58&amp;" },"</f>
        <v>{ "workOsisID": "KJV", "bookName": "Philemon", "bookSubtitle": "The Epistle of Paul to Philemon ", "bookOsisID": "Phlm", "paratext": "PHM", "groups": ["New Testament", "Bible", "Pauline Epistles"], "aliases": [], "chapterLabel": "Chapter", "verseLabel": "Verse", "authors": ["Paul"], "dateEarliest": "", "dateLatest": "", "hasData": true },</v>
      </c>
    </row>
    <row r="59" spans="1:14" s="4" customFormat="1" x14ac:dyDescent="0.2">
      <c r="A59" s="4" t="s">
        <v>160</v>
      </c>
      <c r="B59" s="4" t="s">
        <v>518</v>
      </c>
      <c r="C59" s="4" t="s">
        <v>159</v>
      </c>
      <c r="D59" s="4" t="s">
        <v>161</v>
      </c>
      <c r="E59" s="4" t="s">
        <v>459</v>
      </c>
      <c r="F59" s="4" t="s">
        <v>1094</v>
      </c>
      <c r="G59" s="7" t="s">
        <v>491</v>
      </c>
      <c r="H59" s="7" t="s">
        <v>1015</v>
      </c>
      <c r="I59" s="7"/>
      <c r="J59" s="7"/>
      <c r="K59" s="4" t="s">
        <v>481</v>
      </c>
      <c r="L59" s="4" t="s">
        <v>485</v>
      </c>
      <c r="M59" s="4" t="str">
        <f t="shared" si="0"/>
        <v>true</v>
      </c>
      <c r="N59" s="4" t="str">
        <f>"{ ""workOsisID"": """&amp;G59&amp;""", ""bookName"": """&amp;A59&amp;""", ""bookSubtitle"": """&amp;B59&amp;""", ""bookOsisID"": """&amp;C59&amp;""", ""paratext"": "&amp;IF(D59="","null",""""&amp;D59&amp;"""")&amp;", ""groups"": "&amp;E59&amp;", ""aliases"": "&amp;F59&amp;", ""chapterLabel"": """&amp;K59&amp;""", ""verseLabel"": """&amp;L59&amp;""", ""authors"": "&amp;H59&amp;", ""dateEarliest"": """&amp;I59&amp;""", ""dateLatest"": """&amp;J59&amp;""", ""hasData"": "&amp;M59&amp;" },"</f>
        <v>{ "workOsisID": "KJV", "bookName": "Hebrews", "bookSubtitle": "The Epistle to the Hebrews ", "bookOsisID": "Heb", "paratext": "HEB", "groups": ["New Testament", "Bible"], "aliases": [], "chapterLabel": "Chapter", "verseLabel": "Verse", "authors": ["Paul"], "dateEarliest": "", "dateLatest": "", "hasData": true },</v>
      </c>
    </row>
    <row r="60" spans="1:14" s="4" customFormat="1" x14ac:dyDescent="0.2">
      <c r="A60" s="4" t="s">
        <v>163</v>
      </c>
      <c r="B60" s="4" t="s">
        <v>519</v>
      </c>
      <c r="C60" s="4" t="s">
        <v>162</v>
      </c>
      <c r="D60" s="4" t="s">
        <v>164</v>
      </c>
      <c r="E60" s="4" t="s">
        <v>459</v>
      </c>
      <c r="F60" s="4" t="s">
        <v>1094</v>
      </c>
      <c r="G60" s="7" t="s">
        <v>491</v>
      </c>
      <c r="H60" s="7" t="s">
        <v>1019</v>
      </c>
      <c r="I60" s="7"/>
      <c r="J60" s="7"/>
      <c r="K60" s="4" t="s">
        <v>481</v>
      </c>
      <c r="L60" s="4" t="s">
        <v>485</v>
      </c>
      <c r="M60" s="4" t="str">
        <f t="shared" si="0"/>
        <v>true</v>
      </c>
      <c r="N60" s="4" t="str">
        <f>"{ ""workOsisID"": """&amp;G60&amp;""", ""bookName"": """&amp;A60&amp;""", ""bookSubtitle"": """&amp;B60&amp;""", ""bookOsisID"": """&amp;C60&amp;""", ""paratext"": "&amp;IF(D60="","null",""""&amp;D60&amp;"""")&amp;", ""groups"": "&amp;E60&amp;", ""aliases"": "&amp;F60&amp;", ""chapterLabel"": """&amp;K60&amp;""", ""verseLabel"": """&amp;L60&amp;""", ""authors"": "&amp;H60&amp;", ""dateEarliest"": """&amp;I60&amp;""", ""dateLatest"": """&amp;J60&amp;""", ""hasData"": "&amp;M60&amp;" },"</f>
        <v>{ "workOsisID": "KJV", "bookName": "James", "bookSubtitle": "The General Epistle of James ", "bookOsisID": "Jas", "paratext": "JAS", "groups": ["New Testament", "Bible"], "aliases": [], "chapterLabel": "Chapter", "verseLabel": "Verse", "authors": ["James"], "dateEarliest": "", "dateLatest": "", "hasData": true },</v>
      </c>
    </row>
    <row r="61" spans="1:14" s="4" customFormat="1" x14ac:dyDescent="0.2">
      <c r="A61" s="4" t="s">
        <v>166</v>
      </c>
      <c r="B61" s="4" t="s">
        <v>520</v>
      </c>
      <c r="C61" s="4" t="s">
        <v>165</v>
      </c>
      <c r="D61" s="4" t="s">
        <v>167</v>
      </c>
      <c r="E61" s="4" t="s">
        <v>459</v>
      </c>
      <c r="F61" s="4" t="s">
        <v>1094</v>
      </c>
      <c r="G61" s="7" t="s">
        <v>491</v>
      </c>
      <c r="H61" s="7" t="s">
        <v>1020</v>
      </c>
      <c r="I61" s="7"/>
      <c r="J61" s="7"/>
      <c r="K61" s="4" t="s">
        <v>481</v>
      </c>
      <c r="L61" s="4" t="s">
        <v>485</v>
      </c>
      <c r="M61" s="4" t="str">
        <f t="shared" si="0"/>
        <v>true</v>
      </c>
      <c r="N61" s="4" t="str">
        <f>"{ ""workOsisID"": """&amp;G61&amp;""", ""bookName"": """&amp;A61&amp;""", ""bookSubtitle"": """&amp;B61&amp;""", ""bookOsisID"": """&amp;C61&amp;""", ""paratext"": "&amp;IF(D61="","null",""""&amp;D61&amp;"""")&amp;", ""groups"": "&amp;E61&amp;", ""aliases"": "&amp;F61&amp;", ""chapterLabel"": """&amp;K61&amp;""", ""verseLabel"": """&amp;L61&amp;""", ""authors"": "&amp;H61&amp;", ""dateEarliest"": """&amp;I61&amp;""", ""dateLatest"": """&amp;J61&amp;""", ""hasData"": "&amp;M61&amp;" },"</f>
        <v>{ "workOsisID": "KJV", "bookName": "1 Peter", "bookSubtitle": "The First Epistle of Peter ", "bookOsisID": "1Pet", "paratext": "1PE", "groups": ["New Testament", "Bible"], "aliases": [], "chapterLabel": "Chapter", "verseLabel": "Verse", "authors": ["Peter"], "dateEarliest": "", "dateLatest": "", "hasData": true },</v>
      </c>
    </row>
    <row r="62" spans="1:14" s="4" customFormat="1" x14ac:dyDescent="0.2">
      <c r="A62" s="4" t="s">
        <v>169</v>
      </c>
      <c r="B62" s="4" t="s">
        <v>521</v>
      </c>
      <c r="C62" s="4" t="s">
        <v>168</v>
      </c>
      <c r="D62" s="4" t="s">
        <v>170</v>
      </c>
      <c r="E62" s="4" t="s">
        <v>459</v>
      </c>
      <c r="F62" s="4" t="s">
        <v>1094</v>
      </c>
      <c r="G62" s="7" t="s">
        <v>491</v>
      </c>
      <c r="H62" s="7" t="s">
        <v>1020</v>
      </c>
      <c r="I62" s="7"/>
      <c r="J62" s="7"/>
      <c r="K62" s="4" t="s">
        <v>481</v>
      </c>
      <c r="L62" s="4" t="s">
        <v>485</v>
      </c>
      <c r="M62" s="4" t="str">
        <f t="shared" si="0"/>
        <v>true</v>
      </c>
      <c r="N62" s="4" t="str">
        <f>"{ ""workOsisID"": """&amp;G62&amp;""", ""bookName"": """&amp;A62&amp;""", ""bookSubtitle"": """&amp;B62&amp;""", ""bookOsisID"": """&amp;C62&amp;""", ""paratext"": "&amp;IF(D62="","null",""""&amp;D62&amp;"""")&amp;", ""groups"": "&amp;E62&amp;", ""aliases"": "&amp;F62&amp;", ""chapterLabel"": """&amp;K62&amp;""", ""verseLabel"": """&amp;L62&amp;""", ""authors"": "&amp;H62&amp;", ""dateEarliest"": """&amp;I62&amp;""", ""dateLatest"": """&amp;J62&amp;""", ""hasData"": "&amp;M62&amp;" },"</f>
        <v>{ "workOsisID": "KJV", "bookName": "2 Peter", "bookSubtitle": "The Second Epistle of Peter ", "bookOsisID": "2Pet", "paratext": "2PE", "groups": ["New Testament", "Bible"], "aliases": [], "chapterLabel": "Chapter", "verseLabel": "Verse", "authors": ["Peter"], "dateEarliest": "", "dateLatest": "", "hasData": true },</v>
      </c>
    </row>
    <row r="63" spans="1:14" s="4" customFormat="1" x14ac:dyDescent="0.2">
      <c r="A63" s="4" t="s">
        <v>172</v>
      </c>
      <c r="B63" s="4" t="s">
        <v>522</v>
      </c>
      <c r="C63" s="4" t="s">
        <v>171</v>
      </c>
      <c r="D63" s="4" t="s">
        <v>173</v>
      </c>
      <c r="E63" s="4" t="s">
        <v>459</v>
      </c>
      <c r="F63" s="4" t="s">
        <v>1094</v>
      </c>
      <c r="G63" s="7" t="s">
        <v>491</v>
      </c>
      <c r="H63" s="7" t="s">
        <v>1021</v>
      </c>
      <c r="I63" s="7"/>
      <c r="J63" s="7"/>
      <c r="K63" s="4" t="s">
        <v>481</v>
      </c>
      <c r="L63" s="4" t="s">
        <v>485</v>
      </c>
      <c r="M63" s="4" t="str">
        <f>"true"</f>
        <v>true</v>
      </c>
      <c r="N63" s="4" t="str">
        <f>"{ ""workOsisID"": """&amp;G63&amp;""", ""bookName"": """&amp;A63&amp;""", ""bookSubtitle"": """&amp;B63&amp;""", ""bookOsisID"": """&amp;C63&amp;""", ""paratext"": "&amp;IF(D63="","null",""""&amp;D63&amp;"""")&amp;", ""groups"": "&amp;E63&amp;", ""aliases"": "&amp;F63&amp;", ""chapterLabel"": """&amp;K63&amp;""", ""verseLabel"": """&amp;L63&amp;""", ""authors"": "&amp;H63&amp;", ""dateEarliest"": """&amp;I63&amp;""", ""dateLatest"": """&amp;J63&amp;""", ""hasData"": "&amp;M63&amp;" },"</f>
        <v>{ "workOsisID": "KJV", "bookName": "1 John", "bookSubtitle": "The First Epistle of John ", "bookOsisID": "1John", "paratext": "1JN", "groups": ["New Testament", "Bible"], "aliases": [], "chapterLabel": "Chapter", "verseLabel": "Verse", "authors": ["The Apostle John"], "dateEarliest": "", "dateLatest": "", "hasData": true },</v>
      </c>
    </row>
    <row r="64" spans="1:14" s="4" customFormat="1" x14ac:dyDescent="0.2">
      <c r="A64" s="4" t="s">
        <v>175</v>
      </c>
      <c r="B64" s="4" t="s">
        <v>523</v>
      </c>
      <c r="C64" s="4" t="s">
        <v>174</v>
      </c>
      <c r="D64" s="4" t="s">
        <v>176</v>
      </c>
      <c r="E64" s="4" t="s">
        <v>459</v>
      </c>
      <c r="F64" s="4" t="s">
        <v>1094</v>
      </c>
      <c r="G64" s="7" t="s">
        <v>491</v>
      </c>
      <c r="H64" s="7" t="s">
        <v>1021</v>
      </c>
      <c r="I64" s="7"/>
      <c r="J64" s="7"/>
      <c r="K64" s="4" t="s">
        <v>481</v>
      </c>
      <c r="L64" s="4" t="s">
        <v>485</v>
      </c>
      <c r="M64" s="4" t="str">
        <f t="shared" si="0"/>
        <v>true</v>
      </c>
      <c r="N64" s="4" t="str">
        <f>"{ ""workOsisID"": """&amp;G64&amp;""", ""bookName"": """&amp;A64&amp;""", ""bookSubtitle"": """&amp;B64&amp;""", ""bookOsisID"": """&amp;C64&amp;""", ""paratext"": "&amp;IF(D64="","null",""""&amp;D64&amp;"""")&amp;", ""groups"": "&amp;E64&amp;", ""aliases"": "&amp;F64&amp;", ""chapterLabel"": """&amp;K64&amp;""", ""verseLabel"": """&amp;L64&amp;""", ""authors"": "&amp;H64&amp;", ""dateEarliest"": """&amp;I64&amp;""", ""dateLatest"": """&amp;J64&amp;""", ""hasData"": "&amp;M64&amp;" },"</f>
        <v>{ "workOsisID": "KJV", "bookName": "2 John", "bookSubtitle": "The Second Epistle of John ", "bookOsisID": "2John", "paratext": "2JN", "groups": ["New Testament", "Bible"], "aliases": [], "chapterLabel": "Chapter", "verseLabel": "Verse", "authors": ["The Apostle John"], "dateEarliest": "", "dateLatest": "", "hasData": true },</v>
      </c>
    </row>
    <row r="65" spans="1:14" s="4" customFormat="1" x14ac:dyDescent="0.2">
      <c r="A65" s="4" t="s">
        <v>178</v>
      </c>
      <c r="B65" s="4" t="s">
        <v>524</v>
      </c>
      <c r="C65" s="4" t="s">
        <v>177</v>
      </c>
      <c r="D65" s="4" t="s">
        <v>179</v>
      </c>
      <c r="E65" s="4" t="s">
        <v>459</v>
      </c>
      <c r="F65" s="4" t="s">
        <v>1094</v>
      </c>
      <c r="G65" s="7" t="s">
        <v>491</v>
      </c>
      <c r="H65" s="7" t="s">
        <v>1021</v>
      </c>
      <c r="I65" s="7"/>
      <c r="J65" s="7"/>
      <c r="K65" s="4" t="s">
        <v>481</v>
      </c>
      <c r="L65" s="4" t="s">
        <v>485</v>
      </c>
      <c r="M65" s="4" t="str">
        <f t="shared" si="0"/>
        <v>true</v>
      </c>
      <c r="N65" s="4" t="str">
        <f>"{ ""workOsisID"": """&amp;G65&amp;""", ""bookName"": """&amp;A65&amp;""", ""bookSubtitle"": """&amp;B65&amp;""", ""bookOsisID"": """&amp;C65&amp;""", ""paratext"": "&amp;IF(D65="","null",""""&amp;D65&amp;"""")&amp;", ""groups"": "&amp;E65&amp;", ""aliases"": "&amp;F65&amp;", ""chapterLabel"": """&amp;K65&amp;""", ""verseLabel"": """&amp;L65&amp;""", ""authors"": "&amp;H65&amp;", ""dateEarliest"": """&amp;I65&amp;""", ""dateLatest"": """&amp;J65&amp;""", ""hasData"": "&amp;M65&amp;" },"</f>
        <v>{ "workOsisID": "KJV", "bookName": "3 John", "bookSubtitle": "The Third Epistle of John ", "bookOsisID": "3John", "paratext": "3JN", "groups": ["New Testament", "Bible"], "aliases": [], "chapterLabel": "Chapter", "verseLabel": "Verse", "authors": ["The Apostle John"], "dateEarliest": "", "dateLatest": "", "hasData": true },</v>
      </c>
    </row>
    <row r="66" spans="1:14" s="4" customFormat="1" x14ac:dyDescent="0.2">
      <c r="A66" s="4" t="s">
        <v>180</v>
      </c>
      <c r="B66" s="4" t="s">
        <v>525</v>
      </c>
      <c r="C66" s="4" t="s">
        <v>180</v>
      </c>
      <c r="D66" s="4" t="s">
        <v>181</v>
      </c>
      <c r="E66" s="4" t="s">
        <v>459</v>
      </c>
      <c r="F66" s="4" t="s">
        <v>1094</v>
      </c>
      <c r="G66" s="7" t="s">
        <v>491</v>
      </c>
      <c r="H66" s="7" t="s">
        <v>1104</v>
      </c>
      <c r="I66" s="7"/>
      <c r="J66" s="7"/>
      <c r="K66" s="4" t="s">
        <v>481</v>
      </c>
      <c r="L66" s="4" t="s">
        <v>485</v>
      </c>
      <c r="M66" s="4" t="str">
        <f t="shared" si="0"/>
        <v>true</v>
      </c>
      <c r="N66" s="4" t="str">
        <f>"{ ""workOsisID"": """&amp;G66&amp;""", ""bookName"": """&amp;A66&amp;""", ""bookSubtitle"": """&amp;B66&amp;""", ""bookOsisID"": """&amp;C66&amp;""", ""paratext"": "&amp;IF(D66="","null",""""&amp;D66&amp;"""")&amp;", ""groups"": "&amp;E66&amp;", ""aliases"": "&amp;F66&amp;", ""chapterLabel"": """&amp;K66&amp;""", ""verseLabel"": """&amp;L66&amp;""", ""authors"": "&amp;H66&amp;", ""dateEarliest"": """&amp;I66&amp;""", ""dateLatest"": """&amp;J66&amp;""", ""hasData"": "&amp;M66&amp;" },"</f>
        <v>{ "workOsisID": "KJV", "bookName": "Jude", "bookSubtitle": "The Epistle of Jude ", "bookOsisID": "Jude", "paratext": "JUD", "groups": ["New Testament", "Bible"], "aliases": [], "chapterLabel": "Chapter", "verseLabel": "Verse", "authors": ["Jude"], "dateEarliest": "", "dateLatest": "", "hasData": true },</v>
      </c>
    </row>
    <row r="67" spans="1:14" s="4" customFormat="1" x14ac:dyDescent="0.2">
      <c r="A67" s="4" t="s">
        <v>183</v>
      </c>
      <c r="B67" s="4" t="s">
        <v>526</v>
      </c>
      <c r="C67" s="4" t="s">
        <v>182</v>
      </c>
      <c r="D67" s="4" t="s">
        <v>184</v>
      </c>
      <c r="E67" s="4" t="s">
        <v>459</v>
      </c>
      <c r="F67" s="4" t="s">
        <v>1094</v>
      </c>
      <c r="G67" s="7" t="s">
        <v>491</v>
      </c>
      <c r="H67" s="7" t="s">
        <v>1022</v>
      </c>
      <c r="I67" s="7"/>
      <c r="J67" s="7"/>
      <c r="K67" s="4" t="s">
        <v>481</v>
      </c>
      <c r="L67" s="4" t="s">
        <v>485</v>
      </c>
      <c r="M67" s="4" t="str">
        <f t="shared" ref="M67:M74" si="2">"true"</f>
        <v>true</v>
      </c>
      <c r="N67" s="4" t="str">
        <f>"{ ""workOsisID"": """&amp;G67&amp;""", ""bookName"": """&amp;A67&amp;""", ""bookSubtitle"": """&amp;B67&amp;""", ""bookOsisID"": """&amp;C67&amp;""", ""paratext"": "&amp;IF(D67="","null",""""&amp;D67&amp;"""")&amp;", ""groups"": "&amp;E67&amp;", ""aliases"": "&amp;F67&amp;", ""chapterLabel"": """&amp;K67&amp;""", ""verseLabel"": """&amp;L67&amp;""", ""authors"": "&amp;H67&amp;", ""dateEarliest"": """&amp;I67&amp;""", ""dateLatest"": """&amp;J67&amp;""", ""hasData"": "&amp;M67&amp;" },"</f>
        <v>{ "workOsisID": "KJV", "bookName": "Revelation", "bookSubtitle": "The Revelation of Jesus Christ (or The Apocalypse of John) ", "bookOsisID": "Rev", "paratext": "REV", "groups": ["New Testament", "Bible"], "aliases": [], "chapterLabel": "Chapter", "verseLabel": "Verse", "authors": ["John the Revelator"], "dateEarliest": "", "dateLatest": "", "hasData": true },</v>
      </c>
    </row>
    <row r="68" spans="1:14" s="4" customFormat="1" x14ac:dyDescent="0.2">
      <c r="A68" s="4" t="s">
        <v>186</v>
      </c>
      <c r="B68" s="4" t="str">
        <f t="shared" ref="B68:B69" si="3">"The Book of "&amp;A68</f>
        <v>The Book of Tobit</v>
      </c>
      <c r="C68" s="4" t="s">
        <v>185</v>
      </c>
      <c r="D68" s="4" t="s">
        <v>187</v>
      </c>
      <c r="E68" s="4" t="s">
        <v>461</v>
      </c>
      <c r="F68" s="4" t="s">
        <v>1094</v>
      </c>
      <c r="G68" s="7" t="s">
        <v>490</v>
      </c>
      <c r="H68" s="7" t="s">
        <v>1103</v>
      </c>
      <c r="I68" s="7"/>
      <c r="J68" s="7"/>
      <c r="K68" s="4" t="s">
        <v>481</v>
      </c>
      <c r="L68" s="4" t="s">
        <v>485</v>
      </c>
      <c r="M68" s="4" t="str">
        <f t="shared" si="2"/>
        <v>true</v>
      </c>
      <c r="N68" s="4" t="str">
        <f>"{ ""workOsisID"": """&amp;G68&amp;""", ""bookName"": """&amp;A68&amp;""", ""bookSubtitle"": """&amp;B68&amp;""", ""bookOsisID"": """&amp;C68&amp;""", ""paratext"": "&amp;IF(D68="","null",""""&amp;D68&amp;"""")&amp;", ""groups"": "&amp;E68&amp;", ""aliases"": "&amp;F68&amp;", ""chapterLabel"": """&amp;K68&amp;""", ""verseLabel"": """&amp;L68&amp;""", ""authors"": "&amp;H68&amp;", ""dateEarliest"": """&amp;I68&amp;""", ""dateLatest"": """&amp;J68&amp;""", ""hasData"": "&amp;M68&amp;" },"</f>
        <v>{ "workOsisID": "KJVA", "bookName": "Tobit", "bookSubtitle": "The Book of Tobit", "bookOsisID": "Tob", "paratext": "TOB", "groups": ["Deuterocannon", "Apocrypha"], "aliases": [], "chapterLabel": "Chapter", "verseLabel": "Verse", "authors": ["Tobit"], "dateEarliest": "", "dateLatest": "", "hasData": true },</v>
      </c>
    </row>
    <row r="69" spans="1:14" s="4" customFormat="1" x14ac:dyDescent="0.2">
      <c r="A69" s="4" t="s">
        <v>189</v>
      </c>
      <c r="B69" s="4" t="str">
        <f t="shared" si="3"/>
        <v>The Book of Judith</v>
      </c>
      <c r="C69" s="4" t="s">
        <v>188</v>
      </c>
      <c r="D69" s="4" t="s">
        <v>190</v>
      </c>
      <c r="E69" s="4" t="s">
        <v>461</v>
      </c>
      <c r="F69" s="4" t="s">
        <v>1094</v>
      </c>
      <c r="G69" s="7" t="s">
        <v>490</v>
      </c>
      <c r="H69" s="7" t="s">
        <v>1102</v>
      </c>
      <c r="I69" s="7"/>
      <c r="J69" s="7"/>
      <c r="K69" s="4" t="s">
        <v>481</v>
      </c>
      <c r="L69" s="4" t="s">
        <v>485</v>
      </c>
      <c r="M69" s="4" t="str">
        <f t="shared" si="2"/>
        <v>true</v>
      </c>
      <c r="N69" s="4" t="str">
        <f>"{ ""workOsisID"": """&amp;G69&amp;""", ""bookName"": """&amp;A69&amp;""", ""bookSubtitle"": """&amp;B69&amp;""", ""bookOsisID"": """&amp;C69&amp;""", ""paratext"": "&amp;IF(D69="","null",""""&amp;D69&amp;"""")&amp;", ""groups"": "&amp;E69&amp;", ""aliases"": "&amp;F69&amp;", ""chapterLabel"": """&amp;K69&amp;""", ""verseLabel"": """&amp;L69&amp;""", ""authors"": "&amp;H69&amp;", ""dateEarliest"": """&amp;I69&amp;""", ""dateLatest"": """&amp;J69&amp;""", ""hasData"": "&amp;M69&amp;" },"</f>
        <v>{ "workOsisID": "KJVA", "bookName": "Judith", "bookSubtitle": "The Book of Judith", "bookOsisID": "Jdt", "paratext": "JDT", "groups": ["Deuterocannon", "Apocrypha"], "aliases": [], "chapterLabel": "Chapter", "verseLabel": "Verse", "authors": ["Judith"], "dateEarliest": "", "dateLatest": "", "hasData": true },</v>
      </c>
    </row>
    <row r="70" spans="1:14" x14ac:dyDescent="0.2">
      <c r="A70" t="s">
        <v>380</v>
      </c>
      <c r="C70" t="s">
        <v>191</v>
      </c>
      <c r="D70" t="s">
        <v>192</v>
      </c>
      <c r="E70" t="s">
        <v>461</v>
      </c>
      <c r="F70" t="s">
        <v>1094</v>
      </c>
      <c r="H70" s="8" t="s">
        <v>1101</v>
      </c>
      <c r="K70" t="s">
        <v>481</v>
      </c>
      <c r="L70" t="s">
        <v>485</v>
      </c>
      <c r="M70" s="9" t="str">
        <f>"false"</f>
        <v>false</v>
      </c>
      <c r="N70" s="4" t="str">
        <f>"{ ""workOsisID"": """&amp;G70&amp;""", ""bookName"": """&amp;A70&amp;""", ""bookSubtitle"": """&amp;B70&amp;""", ""bookOsisID"": """&amp;C70&amp;""", ""paratext"": "&amp;IF(D70="","null",""""&amp;D70&amp;"""")&amp;", ""groups"": "&amp;E70&amp;", ""aliases"": "&amp;F70&amp;", ""chapterLabel"": """&amp;K70&amp;""", ""verseLabel"": """&amp;L70&amp;""", ""authors"": "&amp;H70&amp;", ""dateEarliest"": """&amp;I70&amp;""", ""dateLatest"": """&amp;J70&amp;""", ""hasData"": "&amp;M70&amp;" },"</f>
        <v>{ "workOsisID": "", "bookName": "Greek Esther", "bookSubtitle": "", "bookOsisID": "EsthGr", "paratext": "ESG", "groups": ["Deuterocannon", "Apocrypha"], "aliases": [], "chapterLabel": "Chapter", "verseLabel": "Verse", "authors": ["Esther"], "dateEarliest": "", "dateLatest": "", "hasData": false },</v>
      </c>
    </row>
    <row r="71" spans="1:14" s="4" customFormat="1" x14ac:dyDescent="0.2">
      <c r="A71" s="4" t="s">
        <v>194</v>
      </c>
      <c r="B71" s="4" t="s">
        <v>527</v>
      </c>
      <c r="C71" s="4" t="s">
        <v>193</v>
      </c>
      <c r="D71" s="4" t="s">
        <v>195</v>
      </c>
      <c r="E71" s="4" t="s">
        <v>461</v>
      </c>
      <c r="F71" s="4" t="s">
        <v>1094</v>
      </c>
      <c r="G71" s="7" t="s">
        <v>490</v>
      </c>
      <c r="H71" s="7" t="s">
        <v>1094</v>
      </c>
      <c r="I71" s="7"/>
      <c r="J71" s="7"/>
      <c r="K71" s="4" t="s">
        <v>481</v>
      </c>
      <c r="L71" s="4" t="s">
        <v>485</v>
      </c>
      <c r="M71" s="4" t="str">
        <f t="shared" si="2"/>
        <v>true</v>
      </c>
      <c r="N71" s="4" t="str">
        <f>"{ ""workOsisID"": """&amp;G71&amp;""", ""bookName"": """&amp;A71&amp;""", ""bookSubtitle"": """&amp;B71&amp;""", ""bookOsisID"": """&amp;C71&amp;""", ""paratext"": "&amp;IF(D71="","null",""""&amp;D71&amp;"""")&amp;", ""groups"": "&amp;E71&amp;", ""aliases"": "&amp;F71&amp;", ""chapterLabel"": """&amp;K71&amp;""", ""verseLabel"": """&amp;L71&amp;""", ""authors"": "&amp;H71&amp;", ""dateEarliest"": """&amp;I71&amp;""", ""dateLatest"": """&amp;J71&amp;""", ""hasData"": "&amp;M71&amp;" },"</f>
        <v>{ "workOsisID": "KJVA", "bookName": "Additions to Esther", "bookSubtitle": "The Rest of the Chapters of the Book of Esther, which are found neither in the Hebrew, nor in the Chaldee", "bookOsisID": "AddEsth", "paratext": "ADE", "groups": ["Deuterocannon", "Apocrypha"], "aliases": [], "chapterLabel": "Chapter", "verseLabel": "Verse", "authors": [], "dateEarliest": "", "dateLatest": "", "hasData": true },</v>
      </c>
    </row>
    <row r="72" spans="1:14" s="4" customFormat="1" x14ac:dyDescent="0.2">
      <c r="A72" s="4" t="s">
        <v>197</v>
      </c>
      <c r="B72" s="4" t="s">
        <v>571</v>
      </c>
      <c r="C72" s="4" t="s">
        <v>196</v>
      </c>
      <c r="D72" s="4" t="s">
        <v>198</v>
      </c>
      <c r="E72" s="4" t="s">
        <v>461</v>
      </c>
      <c r="F72" s="4" t="s">
        <v>1147</v>
      </c>
      <c r="G72" s="7" t="s">
        <v>490</v>
      </c>
      <c r="H72" s="7" t="s">
        <v>1100</v>
      </c>
      <c r="I72" s="7"/>
      <c r="J72" s="7"/>
      <c r="K72" s="4" t="s">
        <v>481</v>
      </c>
      <c r="L72" s="4" t="s">
        <v>485</v>
      </c>
      <c r="M72" s="4" t="str">
        <f t="shared" si="2"/>
        <v>true</v>
      </c>
      <c r="N72" s="4" t="str">
        <f>"{ ""workOsisID"": """&amp;G72&amp;""", ""bookName"": """&amp;A72&amp;""", ""bookSubtitle"": """&amp;B72&amp;""", ""bookOsisID"": """&amp;C72&amp;""", ""paratext"": "&amp;IF(D72="","null",""""&amp;D72&amp;"""")&amp;", ""groups"": "&amp;E72&amp;", ""aliases"": "&amp;F72&amp;", ""chapterLabel"": """&amp;K72&amp;""", ""verseLabel"": """&amp;L72&amp;""", ""authors"": "&amp;H72&amp;", ""dateEarliest"": """&amp;I72&amp;""", ""dateLatest"": """&amp;J72&amp;""", ""hasData"": "&amp;M72&amp;" },"</f>
        <v>{ "workOsisID": "KJVA", "bookName": "Wisdom", "bookSubtitle": "The Wisdom of Solomon", "bookOsisID": "Wis", "paratext": "WIS", "groups": ["Deuterocannon", "Apocrypha"], "aliases": ["Wisdom of Solomon"], "chapterLabel": "Chapter", "verseLabel": "Verse", "authors": ["Solomon"], "dateEarliest": "", "dateLatest": "", "hasData": true },</v>
      </c>
    </row>
    <row r="73" spans="1:14" s="4" customFormat="1" x14ac:dyDescent="0.2">
      <c r="A73" s="4" t="s">
        <v>381</v>
      </c>
      <c r="B73" s="4" t="s">
        <v>529</v>
      </c>
      <c r="C73" s="4" t="s">
        <v>199</v>
      </c>
      <c r="E73" s="4" t="s">
        <v>461</v>
      </c>
      <c r="F73" s="4" t="s">
        <v>1148</v>
      </c>
      <c r="G73" s="7" t="s">
        <v>490</v>
      </c>
      <c r="H73" s="7" t="s">
        <v>1099</v>
      </c>
      <c r="I73" s="7"/>
      <c r="J73" s="7"/>
      <c r="K73" s="4" t="s">
        <v>481</v>
      </c>
      <c r="L73" s="4" t="s">
        <v>485</v>
      </c>
      <c r="M73" s="4" t="str">
        <f t="shared" si="2"/>
        <v>true</v>
      </c>
      <c r="N73" s="4" t="str">
        <f>"{ ""workOsisID"": """&amp;G73&amp;""", ""bookName"": """&amp;A73&amp;""", ""bookSubtitle"": """&amp;B73&amp;""", ""bookOsisID"": """&amp;C73&amp;""", ""paratext"": "&amp;IF(D73="","null",""""&amp;D73&amp;"""")&amp;", ""groups"": "&amp;E73&amp;", ""aliases"": "&amp;F73&amp;", ""chapterLabel"": """&amp;K73&amp;""", ""verseLabel"": """&amp;L73&amp;""", ""authors"": "&amp;H73&amp;", ""dateEarliest"": """&amp;I73&amp;""", ""dateLatest"": """&amp;J73&amp;""", ""hasData"": "&amp;M73&amp;" },"</f>
        <v>{ "workOsisID": "KJVA", "bookName": "Sirach Prologue", "bookSubtitle": "The Wisdom of Jesus the Son of Sirach (Prologue)", "bookOsisID": "SirP", "paratext": null, "groups": ["Deuterocannon", "Apocrypha"], "aliases": ["Ecclesiasticus Prologue"], "chapterLabel": "Chapter", "verseLabel": "Verse", "authors": ["Sirach"], "dateEarliest": "", "dateLatest": "", "hasData": true },</v>
      </c>
    </row>
    <row r="74" spans="1:14" s="4" customFormat="1" x14ac:dyDescent="0.2">
      <c r="A74" s="4" t="s">
        <v>201</v>
      </c>
      <c r="B74" s="4" t="s">
        <v>528</v>
      </c>
      <c r="C74" s="4" t="s">
        <v>200</v>
      </c>
      <c r="D74" s="4" t="s">
        <v>202</v>
      </c>
      <c r="E74" s="4" t="s">
        <v>461</v>
      </c>
      <c r="F74" s="4" t="s">
        <v>1149</v>
      </c>
      <c r="G74" s="7" t="s">
        <v>490</v>
      </c>
      <c r="H74" s="7" t="s">
        <v>1099</v>
      </c>
      <c r="I74" s="7"/>
      <c r="J74" s="7"/>
      <c r="K74" s="4" t="s">
        <v>481</v>
      </c>
      <c r="L74" s="4" t="s">
        <v>485</v>
      </c>
      <c r="M74" s="4" t="str">
        <f t="shared" si="2"/>
        <v>true</v>
      </c>
      <c r="N74" s="4" t="str">
        <f>"{ ""workOsisID"": """&amp;G74&amp;""", ""bookName"": """&amp;A74&amp;""", ""bookSubtitle"": """&amp;B74&amp;""", ""bookOsisID"": """&amp;C74&amp;""", ""paratext"": "&amp;IF(D74="","null",""""&amp;D74&amp;"""")&amp;", ""groups"": "&amp;E74&amp;", ""aliases"": "&amp;F74&amp;", ""chapterLabel"": """&amp;K74&amp;""", ""verseLabel"": """&amp;L74&amp;""", ""authors"": "&amp;H74&amp;", ""dateEarliest"": """&amp;I74&amp;""", ""dateLatest"": """&amp;J74&amp;""", ""hasData"": "&amp;M74&amp;" },"</f>
        <v>{ "workOsisID": "KJVA", "bookName": "Sirach", "bookSubtitle": "The Wisdom of Jesus the Son of Sirach", "bookOsisID": "Sir", "paratext": "SIR", "groups": ["Deuterocannon", "Apocrypha"], "aliases": ["Ecclesiasticus"], "chapterLabel": "Chapter", "verseLabel": "Verse", "authors": ["Sirach"], "dateEarliest": "", "dateLatest": "", "hasData": true },</v>
      </c>
    </row>
    <row r="75" spans="1:14" x14ac:dyDescent="0.2">
      <c r="A75" t="s">
        <v>204</v>
      </c>
      <c r="B75" t="s">
        <v>530</v>
      </c>
      <c r="C75" t="s">
        <v>203</v>
      </c>
      <c r="D75" t="s">
        <v>205</v>
      </c>
      <c r="E75" t="s">
        <v>461</v>
      </c>
      <c r="F75" s="9" t="s">
        <v>1094</v>
      </c>
      <c r="G75" s="8" t="s">
        <v>490</v>
      </c>
      <c r="H75" s="8" t="s">
        <v>1117</v>
      </c>
      <c r="K75" t="s">
        <v>481</v>
      </c>
      <c r="L75" t="s">
        <v>485</v>
      </c>
      <c r="M75" t="str">
        <f t="shared" ref="M71:M134" si="4">"false"</f>
        <v>false</v>
      </c>
      <c r="N75" s="4" t="str">
        <f>"{ ""workOsisID"": """&amp;G75&amp;""", ""bookName"": """&amp;A75&amp;""", ""bookSubtitle"": """&amp;B75&amp;""", ""bookOsisID"": """&amp;C75&amp;""", ""paratext"": "&amp;IF(D75="","null",""""&amp;D75&amp;"""")&amp;", ""groups"": "&amp;E75&amp;", ""aliases"": "&amp;F75&amp;", ""chapterLabel"": """&amp;K75&amp;""", ""verseLabel"": """&amp;L75&amp;""", ""authors"": "&amp;H75&amp;", ""dateEarliest"": """&amp;I75&amp;""", ""dateLatest"": """&amp;J75&amp;""", ""hasData"": "&amp;M75&amp;" },"</f>
        <v>{ "workOsisID": "KJVA", "bookName": "Baruch", "bookSubtitle": "Baruch the Prophet", "bookOsisID": "Bar", "paratext": "BAR", "groups": ["Deuterocannon", "Apocrypha"], "aliases": [], "chapterLabel": "Chapter", "verseLabel": "Verse", "authors": ["Baruch"], "dateEarliest": "", "dateLatest": "", "hasData": false },</v>
      </c>
    </row>
    <row r="76" spans="1:14" s="4" customFormat="1" x14ac:dyDescent="0.2">
      <c r="A76" s="9" t="s">
        <v>573</v>
      </c>
      <c r="B76" s="9" t="s">
        <v>572</v>
      </c>
      <c r="C76" s="9" t="s">
        <v>206</v>
      </c>
      <c r="D76" s="9" t="s">
        <v>207</v>
      </c>
      <c r="E76" s="9" t="s">
        <v>461</v>
      </c>
      <c r="F76" s="9" t="s">
        <v>1176</v>
      </c>
      <c r="G76" s="10" t="s">
        <v>490</v>
      </c>
      <c r="H76" s="10" t="s">
        <v>1011</v>
      </c>
      <c r="I76" s="10"/>
      <c r="J76" s="10"/>
      <c r="K76" s="9" t="s">
        <v>481</v>
      </c>
      <c r="L76" s="9" t="s">
        <v>485</v>
      </c>
      <c r="M76" s="9" t="str">
        <f t="shared" si="4"/>
        <v>false</v>
      </c>
      <c r="N76" s="4" t="str">
        <f>"{ ""workOsisID"": """&amp;G76&amp;""", ""bookName"": """&amp;A76&amp;""", ""bookSubtitle"": """&amp;B76&amp;""", ""bookOsisID"": """&amp;C76&amp;""", ""paratext"": "&amp;IF(D76="","null",""""&amp;D76&amp;"""")&amp;", ""groups"": "&amp;E76&amp;", ""aliases"": "&amp;F76&amp;", ""chapterLabel"": """&amp;K76&amp;""", ""verseLabel"": """&amp;L76&amp;""", ""authors"": "&amp;H76&amp;", ""dateEarliest"": """&amp;I76&amp;""", ""dateLatest"": """&amp;J76&amp;""", ""hasData"": "&amp;M76&amp;" },"</f>
        <v>{ "workOsisID": "KJVA", "bookName": "Epistle of Jeremiah", "bookSubtitle": "The Epistle of Jeremiah", "bookOsisID": "EpJer", "paratext": "LJE", "groups": ["Deuterocannon", "Apocrypha"], "aliases": ["The Epistle of Jeremiah","The Letter of Jeremiah","Letter of Jeremiah"], "chapterLabel": "Chapter", "verseLabel": "Verse", "authors": ["Jeremiah"], "dateEarliest": "", "dateLatest": "", "hasData": false },</v>
      </c>
    </row>
    <row r="77" spans="1:14" x14ac:dyDescent="0.2">
      <c r="A77" t="s">
        <v>382</v>
      </c>
      <c r="C77" t="s">
        <v>208</v>
      </c>
      <c r="D77" t="s">
        <v>209</v>
      </c>
      <c r="E77" t="s">
        <v>461</v>
      </c>
      <c r="F77" s="9" t="s">
        <v>1094</v>
      </c>
      <c r="H77" s="8" t="s">
        <v>1013</v>
      </c>
      <c r="K77" t="s">
        <v>481</v>
      </c>
      <c r="L77" t="s">
        <v>485</v>
      </c>
      <c r="M77" t="str">
        <f t="shared" si="4"/>
        <v>false</v>
      </c>
      <c r="N77" s="4" t="str">
        <f>"{ ""workOsisID"": """&amp;G77&amp;""", ""bookName"": """&amp;A77&amp;""", ""bookSubtitle"": """&amp;B77&amp;""", ""bookOsisID"": """&amp;C77&amp;""", ""paratext"": "&amp;IF(D77="","null",""""&amp;D77&amp;"""")&amp;", ""groups"": "&amp;E77&amp;", ""aliases"": "&amp;F77&amp;", ""chapterLabel"": """&amp;K77&amp;""", ""verseLabel"": """&amp;L77&amp;""", ""authors"": "&amp;H77&amp;", ""dateEarliest"": """&amp;I77&amp;""", ""dateLatest"": """&amp;J77&amp;""", ""hasData"": "&amp;M77&amp;" },"</f>
        <v>{ "workOsisID": "", "bookName": "Greek Daniel", "bookSubtitle": "", "bookOsisID": "DanGr", "paratext": "DAG", "groups": ["Deuterocannon", "Apocrypha"], "aliases": [], "chapterLabel": "Chapter", "verseLabel": "Verse", "authors": ["Daniel"], "dateEarliest": "", "dateLatest": "", "hasData": false },</v>
      </c>
    </row>
    <row r="78" spans="1:14" x14ac:dyDescent="0.2">
      <c r="A78" t="s">
        <v>211</v>
      </c>
      <c r="C78" t="s">
        <v>210</v>
      </c>
      <c r="E78" t="s">
        <v>461</v>
      </c>
      <c r="F78" s="9" t="s">
        <v>1094</v>
      </c>
      <c r="H78" s="8" t="s">
        <v>1094</v>
      </c>
      <c r="K78" t="s">
        <v>481</v>
      </c>
      <c r="L78" t="s">
        <v>485</v>
      </c>
      <c r="M78" t="str">
        <f t="shared" si="4"/>
        <v>false</v>
      </c>
      <c r="N78" s="4" t="str">
        <f>"{ ""workOsisID"": """&amp;G78&amp;""", ""bookName"": """&amp;A78&amp;""", ""bookSubtitle"": """&amp;B78&amp;""", ""bookOsisID"": """&amp;C78&amp;""", ""paratext"": "&amp;IF(D78="","null",""""&amp;D78&amp;"""")&amp;", ""groups"": "&amp;E78&amp;", ""aliases"": "&amp;F78&amp;", ""chapterLabel"": """&amp;K78&amp;""", ""verseLabel"": """&amp;L78&amp;""", ""authors"": "&amp;H78&amp;", ""dateEarliest"": """&amp;I78&amp;""", ""dateLatest"": """&amp;J78&amp;""", ""hasData"": "&amp;M78&amp;" },"</f>
        <v>{ "workOsisID": "", "bookName": "Additions to Daniel", "bookSubtitle": "", "bookOsisID": "AddDan", "paratext": null, "groups": ["Deuterocannon", "Apocrypha"], "aliases": [], "chapterLabel": "Chapter", "verseLabel": "Verse", "authors": [], "dateEarliest": "", "dateLatest": "", "hasData": false },</v>
      </c>
    </row>
    <row r="79" spans="1:14" s="4" customFormat="1" x14ac:dyDescent="0.2">
      <c r="A79" s="4" t="s">
        <v>213</v>
      </c>
      <c r="B79" s="4" t="s">
        <v>531</v>
      </c>
      <c r="C79" s="4" t="s">
        <v>212</v>
      </c>
      <c r="D79" s="4" t="s">
        <v>214</v>
      </c>
      <c r="E79" s="4" t="s">
        <v>461</v>
      </c>
      <c r="F79" s="4" t="s">
        <v>532</v>
      </c>
      <c r="G79" s="7" t="s">
        <v>490</v>
      </c>
      <c r="H79" s="7" t="s">
        <v>1098</v>
      </c>
      <c r="I79" s="7"/>
      <c r="J79" s="7"/>
      <c r="K79" s="4" t="s">
        <v>481</v>
      </c>
      <c r="L79" s="4" t="s">
        <v>485</v>
      </c>
      <c r="M79" s="4" t="str">
        <f t="shared" ref="M79:M80" si="5">"true"</f>
        <v>true</v>
      </c>
      <c r="N79" s="4" t="str">
        <f>"{ ""workOsisID"": """&amp;G79&amp;""", ""bookName"": """&amp;A79&amp;""", ""bookSubtitle"": """&amp;B79&amp;""", ""bookOsisID"": """&amp;C79&amp;""", ""paratext"": "&amp;IF(D79="","null",""""&amp;D79&amp;"""")&amp;", ""groups"": "&amp;E79&amp;", ""aliases"": "&amp;F79&amp;", ""chapterLabel"": """&amp;K79&amp;""", ""verseLabel"": """&amp;L79&amp;""", ""authors"": "&amp;H79&amp;", ""dateEarliest"": """&amp;I79&amp;""", ""dateLatest"": """&amp;J79&amp;""", ""hasData"": "&amp;M79&amp;" },"</f>
        <v>{ "workOsisID": "KJVA", "bookName": "Prayer of Azariah", "bookSubtitle": "Song of the Three Holy Children", "bookOsisID": "PrAzar", "paratext": "S3Y", "groups": ["Deuterocannon", "Apocrypha"], "aliases": ["Song of the Three Children","Song of the Three Holy Children","PrAzar","S3Y"], "chapterLabel": "Chapter", "verseLabel": "Verse", "authors": ["Azariah"], "dateEarliest": "", "dateLatest": "", "hasData": true },</v>
      </c>
    </row>
    <row r="80" spans="1:14" s="4" customFormat="1" x14ac:dyDescent="0.2">
      <c r="A80" s="4" t="s">
        <v>216</v>
      </c>
      <c r="B80" s="4" t="s">
        <v>533</v>
      </c>
      <c r="C80" s="4" t="s">
        <v>215</v>
      </c>
      <c r="D80" s="4" t="s">
        <v>217</v>
      </c>
      <c r="E80" s="4" t="s">
        <v>461</v>
      </c>
      <c r="F80" s="4" t="s">
        <v>1094</v>
      </c>
      <c r="G80" s="7" t="s">
        <v>490</v>
      </c>
      <c r="H80" s="7" t="s">
        <v>1097</v>
      </c>
      <c r="I80" s="7"/>
      <c r="J80" s="7"/>
      <c r="K80" s="4" t="s">
        <v>481</v>
      </c>
      <c r="L80" s="4" t="s">
        <v>485</v>
      </c>
      <c r="M80" s="4" t="str">
        <f t="shared" si="5"/>
        <v>true</v>
      </c>
      <c r="N80" s="4" t="str">
        <f>"{ ""workOsisID"": """&amp;G80&amp;""", ""bookName"": """&amp;A80&amp;""", ""bookSubtitle"": """&amp;B80&amp;""", ""bookOsisID"": """&amp;C80&amp;""", ""paratext"": "&amp;IF(D80="","null",""""&amp;D80&amp;"""")&amp;", ""groups"": "&amp;E80&amp;", ""aliases"": "&amp;F80&amp;", ""chapterLabel"": """&amp;K80&amp;""", ""verseLabel"": """&amp;L80&amp;""", ""authors"": "&amp;H80&amp;", ""dateEarliest"": """&amp;I80&amp;""", ""dateLatest"": """&amp;J80&amp;""", ""hasData"": "&amp;M80&amp;" },"</f>
        <v>{ "workOsisID": "KJVA", "bookName": "Susanna", "bookSubtitle": "History of Susanna", "bookOsisID": "Sus", "paratext": "SUS", "groups": ["Deuterocannon", "Apocrypha"], "aliases": [], "chapterLabel": "Chapter", "verseLabel": "Verse", "authors": ["Susanna"], "dateEarliest": "", "dateLatest": "", "hasData": true },</v>
      </c>
    </row>
    <row r="81" spans="1:14" x14ac:dyDescent="0.2">
      <c r="A81" t="s">
        <v>219</v>
      </c>
      <c r="C81" t="s">
        <v>218</v>
      </c>
      <c r="D81" t="s">
        <v>220</v>
      </c>
      <c r="E81" t="s">
        <v>461</v>
      </c>
      <c r="F81" s="9" t="s">
        <v>1094</v>
      </c>
      <c r="G81" s="8" t="s">
        <v>490</v>
      </c>
      <c r="H81" s="8" t="s">
        <v>1094</v>
      </c>
      <c r="K81" t="s">
        <v>481</v>
      </c>
      <c r="L81" t="s">
        <v>485</v>
      </c>
      <c r="M81" t="str">
        <f t="shared" si="4"/>
        <v>false</v>
      </c>
      <c r="N81" s="4" t="str">
        <f>"{ ""workOsisID"": """&amp;G81&amp;""", ""bookName"": """&amp;A81&amp;""", ""bookSubtitle"": """&amp;B81&amp;""", ""bookOsisID"": """&amp;C81&amp;""", ""paratext"": "&amp;IF(D81="","null",""""&amp;D81&amp;"""")&amp;", ""groups"": "&amp;E81&amp;", ""aliases"": "&amp;F81&amp;", ""chapterLabel"": """&amp;K81&amp;""", ""verseLabel"": """&amp;L81&amp;""", ""authors"": "&amp;H81&amp;", ""dateEarliest"": """&amp;I81&amp;""", ""dateLatest"": """&amp;J81&amp;""", ""hasData"": "&amp;M81&amp;" },"</f>
        <v>{ "workOsisID": "KJVA", "bookName": "Bel and the Dragon", "bookSubtitle": "", "bookOsisID": "Bel", "paratext": "BEL", "groups": ["Deuterocannon", "Apocrypha"], "aliases": [], "chapterLabel": "Chapter", "verseLabel": "Verse", "authors": [], "dateEarliest": "", "dateLatest": "", "hasData": false },</v>
      </c>
    </row>
    <row r="82" spans="1:14" s="4" customFormat="1" x14ac:dyDescent="0.2">
      <c r="A82" s="4" t="s">
        <v>222</v>
      </c>
      <c r="B82" s="4" t="s">
        <v>577</v>
      </c>
      <c r="C82" s="4" t="s">
        <v>221</v>
      </c>
      <c r="D82" s="4" t="s">
        <v>223</v>
      </c>
      <c r="E82" s="4" t="s">
        <v>461</v>
      </c>
      <c r="F82" s="4" t="s">
        <v>1094</v>
      </c>
      <c r="G82" s="7" t="s">
        <v>490</v>
      </c>
      <c r="H82" s="7" t="s">
        <v>1094</v>
      </c>
      <c r="I82" s="7"/>
      <c r="J82" s="7"/>
      <c r="K82" s="4" t="s">
        <v>481</v>
      </c>
      <c r="L82" s="4" t="s">
        <v>485</v>
      </c>
      <c r="M82" s="4" t="str">
        <f t="shared" ref="M82:M83" si="6">"true"</f>
        <v>true</v>
      </c>
      <c r="N82" s="4" t="str">
        <f>"{ ""workOsisID"": """&amp;G82&amp;""", ""bookName"": """&amp;A82&amp;""", ""bookSubtitle"": """&amp;B82&amp;""", ""bookOsisID"": """&amp;C82&amp;""", ""paratext"": "&amp;IF(D82="","null",""""&amp;D82&amp;"""")&amp;", ""groups"": "&amp;E82&amp;", ""aliases"": "&amp;F82&amp;", ""chapterLabel"": """&amp;K82&amp;""", ""verseLabel"": """&amp;L82&amp;""", ""authors"": "&amp;H82&amp;", ""dateEarliest"": """&amp;I82&amp;""", ""dateLatest"": """&amp;J82&amp;""", ""hasData"": "&amp;M82&amp;" },"</f>
        <v>{ "workOsisID": "KJVA", "bookName": "1 Maccabees", "bookSubtitle": "The First Book of the Maccabees", "bookOsisID": "1Macc", "paratext": "1MA", "groups": ["Deuterocannon", "Apocrypha"], "aliases": [], "chapterLabel": "Chapter", "verseLabel": "Verse", "authors": [], "dateEarliest": "", "dateLatest": "", "hasData": true },</v>
      </c>
    </row>
    <row r="83" spans="1:14" s="4" customFormat="1" x14ac:dyDescent="0.2">
      <c r="A83" s="4" t="s">
        <v>225</v>
      </c>
      <c r="B83" s="4" t="s">
        <v>574</v>
      </c>
      <c r="C83" s="4" t="s">
        <v>224</v>
      </c>
      <c r="D83" s="4" t="s">
        <v>226</v>
      </c>
      <c r="E83" s="4" t="s">
        <v>461</v>
      </c>
      <c r="F83" s="4" t="s">
        <v>1094</v>
      </c>
      <c r="G83" s="7" t="s">
        <v>490</v>
      </c>
      <c r="H83" s="7" t="s">
        <v>1094</v>
      </c>
      <c r="I83" s="7"/>
      <c r="J83" s="7"/>
      <c r="K83" s="4" t="s">
        <v>481</v>
      </c>
      <c r="L83" s="4" t="s">
        <v>485</v>
      </c>
      <c r="M83" s="4" t="str">
        <f t="shared" si="6"/>
        <v>true</v>
      </c>
      <c r="N83" s="4" t="str">
        <f>"{ ""workOsisID"": """&amp;G83&amp;""", ""bookName"": """&amp;A83&amp;""", ""bookSubtitle"": """&amp;B83&amp;""", ""bookOsisID"": """&amp;C83&amp;""", ""paratext"": "&amp;IF(D83="","null",""""&amp;D83&amp;"""")&amp;", ""groups"": "&amp;E83&amp;", ""aliases"": "&amp;F83&amp;", ""chapterLabel"": """&amp;K83&amp;""", ""verseLabel"": """&amp;L83&amp;""", ""authors"": "&amp;H83&amp;", ""dateEarliest"": """&amp;I83&amp;""", ""dateLatest"": """&amp;J83&amp;""", ""hasData"": "&amp;M83&amp;" },"</f>
        <v>{ "workOsisID": "KJVA", "bookName": "2 Maccabees", "bookSubtitle": "The Second Book of the Maccabees", "bookOsisID": "2Macc", "paratext": "2MA", "groups": ["Deuterocannon", "Apocrypha"], "aliases": [], "chapterLabel": "Chapter", "verseLabel": "Verse", "authors": [], "dateEarliest": "", "dateLatest": "", "hasData": true },</v>
      </c>
    </row>
    <row r="84" spans="1:14" x14ac:dyDescent="0.2">
      <c r="A84" t="s">
        <v>228</v>
      </c>
      <c r="B84" s="9" t="s">
        <v>576</v>
      </c>
      <c r="C84" t="s">
        <v>227</v>
      </c>
      <c r="D84" t="s">
        <v>229</v>
      </c>
      <c r="E84" t="s">
        <v>461</v>
      </c>
      <c r="F84" s="9" t="s">
        <v>1094</v>
      </c>
      <c r="H84" s="8" t="s">
        <v>1094</v>
      </c>
      <c r="K84" t="s">
        <v>481</v>
      </c>
      <c r="L84" t="s">
        <v>485</v>
      </c>
      <c r="M84" t="str">
        <f t="shared" si="4"/>
        <v>false</v>
      </c>
      <c r="N84" s="4" t="str">
        <f>"{ ""workOsisID"": """&amp;G84&amp;""", ""bookName"": """&amp;A84&amp;""", ""bookSubtitle"": """&amp;B84&amp;""", ""bookOsisID"": """&amp;C84&amp;""", ""paratext"": "&amp;IF(D84="","null",""""&amp;D84&amp;"""")&amp;", ""groups"": "&amp;E84&amp;", ""aliases"": "&amp;F84&amp;", ""chapterLabel"": """&amp;K84&amp;""", ""verseLabel"": """&amp;L84&amp;""", ""authors"": "&amp;H84&amp;", ""dateEarliest"": """&amp;I84&amp;""", ""dateLatest"": """&amp;J84&amp;""", ""hasData"": "&amp;M84&amp;" },"</f>
        <v>{ "workOsisID": "", "bookName": "3 Maccabees", "bookSubtitle": "The Third Book of the Maccabees", "bookOsisID": "3Macc", "paratext": "3MA", "groups": ["Deuterocannon", "Apocrypha"], "aliases": [], "chapterLabel": "Chapter", "verseLabel": "Verse", "authors": [], "dateEarliest": "", "dateLatest": "", "hasData": false },</v>
      </c>
    </row>
    <row r="85" spans="1:14" x14ac:dyDescent="0.2">
      <c r="A85" t="s">
        <v>231</v>
      </c>
      <c r="B85" s="9" t="s">
        <v>575</v>
      </c>
      <c r="C85" t="s">
        <v>230</v>
      </c>
      <c r="D85" t="s">
        <v>232</v>
      </c>
      <c r="E85" t="s">
        <v>461</v>
      </c>
      <c r="F85" s="9" t="s">
        <v>1094</v>
      </c>
      <c r="H85" s="8" t="s">
        <v>1094</v>
      </c>
      <c r="K85" t="s">
        <v>481</v>
      </c>
      <c r="L85" t="s">
        <v>485</v>
      </c>
      <c r="M85" t="str">
        <f t="shared" si="4"/>
        <v>false</v>
      </c>
      <c r="N85" s="4" t="str">
        <f>"{ ""workOsisID"": """&amp;G85&amp;""", ""bookName"": """&amp;A85&amp;""", ""bookSubtitle"": """&amp;B85&amp;""", ""bookOsisID"": """&amp;C85&amp;""", ""paratext"": "&amp;IF(D85="","null",""""&amp;D85&amp;"""")&amp;", ""groups"": "&amp;E85&amp;", ""aliases"": "&amp;F85&amp;", ""chapterLabel"": """&amp;K85&amp;""", ""verseLabel"": """&amp;L85&amp;""", ""authors"": "&amp;H85&amp;", ""dateEarliest"": """&amp;I85&amp;""", ""dateLatest"": """&amp;J85&amp;""", ""hasData"": "&amp;M85&amp;" },"</f>
        <v>{ "workOsisID": "", "bookName": "4 Maccabees", "bookSubtitle": "The Fourth Book of the Maccabees", "bookOsisID": "4Macc", "paratext": "4MA", "groups": ["Deuterocannon", "Apocrypha"], "aliases": [], "chapterLabel": "Chapter", "verseLabel": "Verse", "authors": [], "dateEarliest": "", "dateLatest": "", "hasData": false },</v>
      </c>
    </row>
    <row r="86" spans="1:14" s="4" customFormat="1" x14ac:dyDescent="0.2">
      <c r="A86" s="4" t="s">
        <v>234</v>
      </c>
      <c r="B86" s="4" t="s">
        <v>534</v>
      </c>
      <c r="C86" s="4" t="s">
        <v>233</v>
      </c>
      <c r="D86" s="4" t="s">
        <v>235</v>
      </c>
      <c r="E86" s="4" t="s">
        <v>461</v>
      </c>
      <c r="F86" s="4" t="s">
        <v>1094</v>
      </c>
      <c r="G86" s="7" t="s">
        <v>490</v>
      </c>
      <c r="H86" s="7" t="s">
        <v>1095</v>
      </c>
      <c r="I86" s="7"/>
      <c r="J86" s="7"/>
      <c r="K86" s="4" t="s">
        <v>481</v>
      </c>
      <c r="L86" s="4" t="s">
        <v>485</v>
      </c>
      <c r="M86" s="4" t="str">
        <f t="shared" ref="M86:M88" si="7">"true"</f>
        <v>true</v>
      </c>
      <c r="N86" s="4" t="str">
        <f>"{ ""workOsisID"": """&amp;G86&amp;""", ""bookName"": """&amp;A86&amp;""", ""bookSubtitle"": """&amp;B86&amp;""", ""bookOsisID"": """&amp;C86&amp;""", ""paratext"": "&amp;IF(D86="","null",""""&amp;D86&amp;"""")&amp;", ""groups"": "&amp;E86&amp;", ""aliases"": "&amp;F86&amp;", ""chapterLabel"": """&amp;K86&amp;""", ""verseLabel"": """&amp;L86&amp;""", ""authors"": "&amp;H86&amp;", ""dateEarliest"": """&amp;I86&amp;""", ""dateLatest"": """&amp;J86&amp;""", ""hasData"": "&amp;M86&amp;" },"</f>
        <v>{ "workOsisID": "KJVA", "bookName": "Prayer of Manasseh", "bookSubtitle": "The Prayer of Manasses King of Juda, when he was holden captive in Babylon", "bookOsisID": "PrMan", "paratext": "MAN", "groups": ["Deuterocannon", "Apocrypha"], "aliases": [], "chapterLabel": "Chapter", "verseLabel": "Verse", "authors": ["Manasseh"], "dateEarliest": "", "dateLatest": "", "hasData": true },</v>
      </c>
    </row>
    <row r="87" spans="1:14" x14ac:dyDescent="0.2">
      <c r="A87" s="4" t="s">
        <v>237</v>
      </c>
      <c r="B87" s="4" t="s">
        <v>578</v>
      </c>
      <c r="C87" s="4" t="s">
        <v>236</v>
      </c>
      <c r="D87" s="4" t="s">
        <v>238</v>
      </c>
      <c r="E87" s="4" t="s">
        <v>461</v>
      </c>
      <c r="F87" s="4" t="s">
        <v>1094</v>
      </c>
      <c r="G87" s="7" t="s">
        <v>490</v>
      </c>
      <c r="H87" s="7" t="s">
        <v>1096</v>
      </c>
      <c r="I87" s="7"/>
      <c r="J87" s="7"/>
      <c r="K87" s="4" t="s">
        <v>481</v>
      </c>
      <c r="L87" s="4" t="s">
        <v>485</v>
      </c>
      <c r="M87" s="4" t="str">
        <f t="shared" si="7"/>
        <v>true</v>
      </c>
      <c r="N87" s="4" t="str">
        <f>"{ ""workOsisID"": """&amp;G87&amp;""", ""bookName"": """&amp;A87&amp;""", ""bookSubtitle"": """&amp;B87&amp;""", ""bookOsisID"": """&amp;C87&amp;""", ""paratext"": "&amp;IF(D87="","null",""""&amp;D87&amp;"""")&amp;", ""groups"": "&amp;E87&amp;", ""aliases"": "&amp;F87&amp;", ""chapterLabel"": """&amp;K87&amp;""", ""verseLabel"": """&amp;L87&amp;""", ""authors"": "&amp;H87&amp;", ""dateEarliest"": """&amp;I87&amp;""", ""dateLatest"": """&amp;J87&amp;""", ""hasData"": "&amp;M87&amp;" },"</f>
        <v>{ "workOsisID": "KJVA", "bookName": "1 Esdras", "bookSubtitle": "The First Book of Esdras", "bookOsisID": "1Esd", "paratext": "1ES", "groups": ["Deuterocannon", "Apocrypha"], "aliases": [], "chapterLabel": "Chapter", "verseLabel": "Verse", "authors": ["Esdras"], "dateEarliest": "", "dateLatest": "", "hasData": true },</v>
      </c>
    </row>
    <row r="88" spans="1:14" s="4" customFormat="1" x14ac:dyDescent="0.2">
      <c r="A88" s="4" t="s">
        <v>240</v>
      </c>
      <c r="B88" s="4" t="s">
        <v>579</v>
      </c>
      <c r="C88" s="4" t="s">
        <v>239</v>
      </c>
      <c r="D88" s="4" t="s">
        <v>241</v>
      </c>
      <c r="E88" s="4" t="s">
        <v>461</v>
      </c>
      <c r="F88" s="4" t="s">
        <v>1094</v>
      </c>
      <c r="G88" s="7" t="s">
        <v>490</v>
      </c>
      <c r="H88" s="7" t="s">
        <v>1096</v>
      </c>
      <c r="I88" s="7"/>
      <c r="J88" s="7"/>
      <c r="K88" s="4" t="s">
        <v>481</v>
      </c>
      <c r="L88" s="4" t="s">
        <v>485</v>
      </c>
      <c r="M88" s="4" t="str">
        <f t="shared" si="7"/>
        <v>true</v>
      </c>
      <c r="N88" s="4" t="str">
        <f>"{ ""workOsisID"": """&amp;G88&amp;""", ""bookName"": """&amp;A88&amp;""", ""bookSubtitle"": """&amp;B88&amp;""", ""bookOsisID"": """&amp;C88&amp;""", ""paratext"": "&amp;IF(D88="","null",""""&amp;D88&amp;"""")&amp;", ""groups"": "&amp;E88&amp;", ""aliases"": "&amp;F88&amp;", ""chapterLabel"": """&amp;K88&amp;""", ""verseLabel"": """&amp;L88&amp;""", ""authors"": "&amp;H88&amp;", ""dateEarliest"": """&amp;I88&amp;""", ""dateLatest"": """&amp;J88&amp;""", ""hasData"": "&amp;M88&amp;" },"</f>
        <v>{ "workOsisID": "KJVA", "bookName": "2 Esdras", "bookSubtitle": "The Second Book of Esdras", "bookOsisID": "2Esd", "paratext": "2ES", "groups": ["Deuterocannon", "Apocrypha"], "aliases": [], "chapterLabel": "Chapter", "verseLabel": "Verse", "authors": ["Esdras"], "dateEarliest": "", "dateLatest": "", "hasData": true },</v>
      </c>
    </row>
    <row r="89" spans="1:14" x14ac:dyDescent="0.2">
      <c r="A89" t="s">
        <v>383</v>
      </c>
      <c r="C89" t="s">
        <v>242</v>
      </c>
      <c r="D89" t="s">
        <v>243</v>
      </c>
      <c r="E89" t="s">
        <v>461</v>
      </c>
      <c r="F89" s="9" t="s">
        <v>1094</v>
      </c>
      <c r="H89" s="8" t="s">
        <v>1094</v>
      </c>
      <c r="K89" t="s">
        <v>481</v>
      </c>
      <c r="L89" t="s">
        <v>485</v>
      </c>
      <c r="M89" t="str">
        <f t="shared" si="4"/>
        <v>false</v>
      </c>
      <c r="N89" s="4" t="str">
        <f>"{ ""workOsisID"": """&amp;G89&amp;""", ""bookName"": """&amp;A89&amp;""", ""bookSubtitle"": """&amp;B89&amp;""", ""bookOsisID"": """&amp;C89&amp;""", ""paratext"": "&amp;IF(D89="","null",""""&amp;D89&amp;"""")&amp;", ""groups"": "&amp;E89&amp;", ""aliases"": "&amp;F89&amp;", ""chapterLabel"": """&amp;K89&amp;""", ""verseLabel"": """&amp;L89&amp;""", ""authors"": "&amp;H89&amp;", ""dateEarliest"": """&amp;I89&amp;""", ""dateLatest"": """&amp;J89&amp;""", ""hasData"": "&amp;M89&amp;" },"</f>
        <v>{ "workOsisID": "", "bookName": "Psalm 151", "bookSubtitle": "", "bookOsisID": "AddPs", "paratext": "PS2", "groups": ["Deuterocannon", "Apocrypha"], "aliases": [], "chapterLabel": "Chapter", "verseLabel": "Verse", "authors": [], "dateEarliest": "", "dateLatest": "", "hasData": false },</v>
      </c>
    </row>
    <row r="90" spans="1:14" x14ac:dyDescent="0.2">
      <c r="A90" t="s">
        <v>244</v>
      </c>
      <c r="C90" t="s">
        <v>244</v>
      </c>
      <c r="D90" t="s">
        <v>245</v>
      </c>
      <c r="E90" t="s">
        <v>479</v>
      </c>
      <c r="F90" s="9" t="s">
        <v>1094</v>
      </c>
      <c r="H90" s="8" t="s">
        <v>1094</v>
      </c>
      <c r="K90" t="s">
        <v>481</v>
      </c>
      <c r="L90" t="s">
        <v>485</v>
      </c>
      <c r="M90" t="str">
        <f t="shared" si="4"/>
        <v>false</v>
      </c>
      <c r="N90" s="4" t="str">
        <f>"{ ""workOsisID"": """&amp;G90&amp;""", ""bookName"": """&amp;A90&amp;""", ""bookSubtitle"": """&amp;B90&amp;""", ""bookOsisID"": """&amp;C90&amp;""", ""paratext"": "&amp;IF(D90="","null",""""&amp;D90&amp;"""")&amp;", ""groups"": "&amp;E90&amp;", ""aliases"": "&amp;F90&amp;", ""chapterLabel"": """&amp;K90&amp;""", ""verseLabel"": """&amp;L90&amp;""", ""authors"": "&amp;H90&amp;", ""dateEarliest"": """&amp;I90&amp;""", ""dateLatest"": """&amp;J90&amp;""", ""hasData"": "&amp;M90&amp;" },"</f>
        <v>{ "workOsisID": "", "bookName": "Odes", "bookSubtitle": "", "bookOsisID": "Odes", "paratext": "ODA", "groups": ["Rahlfs' LXX", "Apocrypha"], "aliases": [], "chapterLabel": "Chapter", "verseLabel": "Verse", "authors": [], "dateEarliest": "", "dateLatest": "", "hasData": false },</v>
      </c>
    </row>
    <row r="91" spans="1:14" x14ac:dyDescent="0.2">
      <c r="A91" t="s">
        <v>247</v>
      </c>
      <c r="C91" t="s">
        <v>246</v>
      </c>
      <c r="D91" t="s">
        <v>248</v>
      </c>
      <c r="E91" t="s">
        <v>479</v>
      </c>
      <c r="F91" s="9" t="s">
        <v>1094</v>
      </c>
      <c r="H91" s="8" t="s">
        <v>1100</v>
      </c>
      <c r="K91" t="s">
        <v>481</v>
      </c>
      <c r="L91" t="s">
        <v>485</v>
      </c>
      <c r="M91" t="str">
        <f t="shared" si="4"/>
        <v>false</v>
      </c>
      <c r="N91" s="4" t="str">
        <f>"{ ""workOsisID"": """&amp;G91&amp;""", ""bookName"": """&amp;A91&amp;""", ""bookSubtitle"": """&amp;B91&amp;""", ""bookOsisID"": """&amp;C91&amp;""", ""paratext"": "&amp;IF(D91="","null",""""&amp;D91&amp;"""")&amp;", ""groups"": "&amp;E91&amp;", ""aliases"": "&amp;F91&amp;", ""chapterLabel"": """&amp;K91&amp;""", ""verseLabel"": """&amp;L91&amp;""", ""authors"": "&amp;H91&amp;", ""dateEarliest"": """&amp;I91&amp;""", ""dateLatest"": """&amp;J91&amp;""", ""hasData"": "&amp;M91&amp;" },"</f>
        <v>{ "workOsisID": "", "bookName": "Psalms of Solomon", "bookSubtitle": "", "bookOsisID": "PssSol", "paratext": "PSS", "groups": ["Rahlfs' LXX", "Apocrypha"], "aliases": [], "chapterLabel": "Chapter", "verseLabel": "Verse", "authors": ["Solomon"], "dateEarliest": "", "dateLatest": "", "hasData": false },</v>
      </c>
    </row>
    <row r="92" spans="1:14" x14ac:dyDescent="0.2">
      <c r="A92" t="s">
        <v>384</v>
      </c>
      <c r="C92" t="s">
        <v>249</v>
      </c>
      <c r="D92" t="s">
        <v>250</v>
      </c>
      <c r="E92" t="s">
        <v>478</v>
      </c>
      <c r="F92" s="9" t="s">
        <v>1094</v>
      </c>
      <c r="H92" s="8" t="s">
        <v>1133</v>
      </c>
      <c r="K92" t="s">
        <v>481</v>
      </c>
      <c r="L92" t="s">
        <v>485</v>
      </c>
      <c r="M92" t="str">
        <f t="shared" si="4"/>
        <v>false</v>
      </c>
      <c r="N92" s="4" t="str">
        <f>"{ ""workOsisID"": """&amp;G92&amp;""", ""bookName"": """&amp;A92&amp;""", ""bookSubtitle"": """&amp;B92&amp;""", ""bookOsisID"": """&amp;C92&amp;""", ""paratext"": "&amp;IF(D92="","null",""""&amp;D92&amp;"""")&amp;", ""groups"": "&amp;E92&amp;", ""aliases"": "&amp;F92&amp;", ""chapterLabel"": """&amp;K92&amp;""", ""verseLabel"": """&amp;L92&amp;""", ""authors"": "&amp;H92&amp;", ""dateEarliest"": """&amp;I92&amp;""", ""dateLatest"": """&amp;J92&amp;""", ""hasData"": "&amp;M92&amp;" },"</f>
        <v>{ "workOsisID": "", "bookName": "Joshua A", "bookSubtitle": "", "bookOsisID": "JoshA", "paratext": "JSA", "groups": ["Rahlfs' variant books", "Apocrypha"], "aliases": [], "chapterLabel": "Chapter", "verseLabel": "Verse", "authors": ["Joshua"], "dateEarliest": "", "dateLatest": "", "hasData": false },</v>
      </c>
    </row>
    <row r="93" spans="1:14" x14ac:dyDescent="0.2">
      <c r="A93" t="s">
        <v>385</v>
      </c>
      <c r="C93" t="s">
        <v>251</v>
      </c>
      <c r="D93" t="s">
        <v>252</v>
      </c>
      <c r="E93" t="s">
        <v>478</v>
      </c>
      <c r="F93" s="9" t="s">
        <v>1094</v>
      </c>
      <c r="H93" s="8" t="s">
        <v>1094</v>
      </c>
      <c r="K93" t="s">
        <v>481</v>
      </c>
      <c r="L93" t="s">
        <v>485</v>
      </c>
      <c r="M93" t="str">
        <f t="shared" si="4"/>
        <v>false</v>
      </c>
      <c r="N93" s="4" t="str">
        <f>"{ ""workOsisID"": """&amp;G93&amp;""", ""bookName"": """&amp;A93&amp;""", ""bookSubtitle"": """&amp;B93&amp;""", ""bookOsisID"": """&amp;C93&amp;""", ""paratext"": "&amp;IF(D93="","null",""""&amp;D93&amp;"""")&amp;", ""groups"": "&amp;E93&amp;", ""aliases"": "&amp;F93&amp;", ""chapterLabel"": """&amp;K93&amp;""", ""verseLabel"": """&amp;L93&amp;""", ""authors"": "&amp;H93&amp;", ""dateEarliest"": """&amp;I93&amp;""", ""dateLatest"": """&amp;J93&amp;""", ""hasData"": "&amp;M93&amp;" },"</f>
        <v>{ "workOsisID": "", "bookName": "Judges B", "bookSubtitle": "", "bookOsisID": "JudgB", "paratext": "JDB", "groups": ["Rahlfs' variant books", "Apocrypha"], "aliases": [], "chapterLabel": "Chapter", "verseLabel": "Verse", "authors": [], "dateEarliest": "", "dateLatest": "", "hasData": false },</v>
      </c>
    </row>
    <row r="94" spans="1:14" x14ac:dyDescent="0.2">
      <c r="A94" t="s">
        <v>386</v>
      </c>
      <c r="C94" t="s">
        <v>253</v>
      </c>
      <c r="D94" t="s">
        <v>254</v>
      </c>
      <c r="E94" t="s">
        <v>478</v>
      </c>
      <c r="F94" s="9" t="s">
        <v>1094</v>
      </c>
      <c r="H94" s="8" t="s">
        <v>1103</v>
      </c>
      <c r="K94" t="s">
        <v>481</v>
      </c>
      <c r="L94" t="s">
        <v>485</v>
      </c>
      <c r="M94" t="str">
        <f t="shared" si="4"/>
        <v>false</v>
      </c>
      <c r="N94" s="4" t="str">
        <f>"{ ""workOsisID"": """&amp;G94&amp;""", ""bookName"": """&amp;A94&amp;""", ""bookSubtitle"": """&amp;B94&amp;""", ""bookOsisID"": """&amp;C94&amp;""", ""paratext"": "&amp;IF(D94="","null",""""&amp;D94&amp;"""")&amp;", ""groups"": "&amp;E94&amp;", ""aliases"": "&amp;F94&amp;", ""chapterLabel"": """&amp;K94&amp;""", ""verseLabel"": """&amp;L94&amp;""", ""authors"": "&amp;H94&amp;", ""dateEarliest"": """&amp;I94&amp;""", ""dateLatest"": """&amp;J94&amp;""", ""hasData"": "&amp;M94&amp;" },"</f>
        <v>{ "workOsisID": "", "bookName": "Tobit S", "bookSubtitle": "", "bookOsisID": "TobS", "paratext": "TBS", "groups": ["Rahlfs' variant books", "Apocrypha"], "aliases": [], "chapterLabel": "Chapter", "verseLabel": "Verse", "authors": ["Tobit"], "dateEarliest": "", "dateLatest": "", "hasData": false },</v>
      </c>
    </row>
    <row r="95" spans="1:14" x14ac:dyDescent="0.2">
      <c r="A95" t="s">
        <v>387</v>
      </c>
      <c r="C95" t="s">
        <v>255</v>
      </c>
      <c r="D95" t="s">
        <v>256</v>
      </c>
      <c r="E95" t="s">
        <v>478</v>
      </c>
      <c r="F95" s="9" t="s">
        <v>1094</v>
      </c>
      <c r="H95" s="8" t="s">
        <v>1097</v>
      </c>
      <c r="K95" t="s">
        <v>481</v>
      </c>
      <c r="L95" t="s">
        <v>485</v>
      </c>
      <c r="M95" t="str">
        <f t="shared" si="4"/>
        <v>false</v>
      </c>
      <c r="N95" s="4" t="str">
        <f>"{ ""workOsisID"": """&amp;G95&amp;""", ""bookName"": """&amp;A95&amp;""", ""bookSubtitle"": """&amp;B95&amp;""", ""bookOsisID"": """&amp;C95&amp;""", ""paratext"": "&amp;IF(D95="","null",""""&amp;D95&amp;"""")&amp;", ""groups"": "&amp;E95&amp;", ""aliases"": "&amp;F95&amp;", ""chapterLabel"": """&amp;K95&amp;""", ""verseLabel"": """&amp;L95&amp;""", ""authors"": "&amp;H95&amp;", ""dateEarliest"": """&amp;I95&amp;""", ""dateLatest"": """&amp;J95&amp;""", ""hasData"": "&amp;M95&amp;" },"</f>
        <v>{ "workOsisID": "", "bookName": "Susanna θ", "bookSubtitle": "", "bookOsisID": "SusTh", "paratext": "SST", "groups": ["Rahlfs' variant books", "Apocrypha"], "aliases": [], "chapterLabel": "Chapter", "verseLabel": "Verse", "authors": ["Susanna"], "dateEarliest": "", "dateLatest": "", "hasData": false },</v>
      </c>
    </row>
    <row r="96" spans="1:14" x14ac:dyDescent="0.2">
      <c r="A96" t="s">
        <v>388</v>
      </c>
      <c r="C96" t="s">
        <v>257</v>
      </c>
      <c r="D96" t="s">
        <v>258</v>
      </c>
      <c r="E96" t="s">
        <v>478</v>
      </c>
      <c r="F96" s="9" t="s">
        <v>1094</v>
      </c>
      <c r="H96" s="8" t="s">
        <v>1013</v>
      </c>
      <c r="K96" t="s">
        <v>481</v>
      </c>
      <c r="L96" t="s">
        <v>485</v>
      </c>
      <c r="M96" t="str">
        <f t="shared" si="4"/>
        <v>false</v>
      </c>
      <c r="N96" s="4" t="str">
        <f>"{ ""workOsisID"": """&amp;G96&amp;""", ""bookName"": """&amp;A96&amp;""", ""bookSubtitle"": """&amp;B96&amp;""", ""bookOsisID"": """&amp;C96&amp;""", ""paratext"": "&amp;IF(D96="","null",""""&amp;D96&amp;"""")&amp;", ""groups"": "&amp;E96&amp;", ""aliases"": "&amp;F96&amp;", ""chapterLabel"": """&amp;K96&amp;""", ""verseLabel"": """&amp;L96&amp;""", ""authors"": "&amp;H96&amp;", ""dateEarliest"": """&amp;I96&amp;""", ""dateLatest"": """&amp;J96&amp;""", ""hasData"": "&amp;M96&amp;" },"</f>
        <v>{ "workOsisID": "", "bookName": "Daniel θ", "bookSubtitle": "", "bookOsisID": "DanTh", "paratext": "DNT", "groups": ["Rahlfs' variant books", "Apocrypha"], "aliases": [], "chapterLabel": "Chapter", "verseLabel": "Verse", "authors": ["Daniel"], "dateEarliest": "", "dateLatest": "", "hasData": false },</v>
      </c>
    </row>
    <row r="97" spans="1:14" x14ac:dyDescent="0.2">
      <c r="A97" t="s">
        <v>389</v>
      </c>
      <c r="C97" t="s">
        <v>259</v>
      </c>
      <c r="D97" t="s">
        <v>260</v>
      </c>
      <c r="E97" t="s">
        <v>478</v>
      </c>
      <c r="F97" s="9" t="s">
        <v>1094</v>
      </c>
      <c r="H97" s="8" t="s">
        <v>1094</v>
      </c>
      <c r="K97" t="s">
        <v>481</v>
      </c>
      <c r="L97" t="s">
        <v>485</v>
      </c>
      <c r="M97" t="str">
        <f t="shared" si="4"/>
        <v>false</v>
      </c>
      <c r="N97" s="4" t="str">
        <f>"{ ""workOsisID"": """&amp;G97&amp;""", ""bookName"": """&amp;A97&amp;""", ""bookSubtitle"": """&amp;B97&amp;""", ""bookOsisID"": """&amp;C97&amp;""", ""paratext"": "&amp;IF(D97="","null",""""&amp;D97&amp;"""")&amp;", ""groups"": "&amp;E97&amp;", ""aliases"": "&amp;F97&amp;", ""chapterLabel"": """&amp;K97&amp;""", ""verseLabel"": """&amp;L97&amp;""", ""authors"": "&amp;H97&amp;", ""dateEarliest"": """&amp;I97&amp;""", ""dateLatest"": """&amp;J97&amp;""", ""hasData"": "&amp;M97&amp;" },"</f>
        <v>{ "workOsisID": "", "bookName": "Bel and the Dragon θ", "bookSubtitle": "", "bookOsisID": "BelTh", "paratext": "BLT", "groups": ["Rahlfs' variant books", "Apocrypha"], "aliases": [], "chapterLabel": "Chapter", "verseLabel": "Verse", "authors": [], "dateEarliest": "", "dateLatest": "", "hasData": false },</v>
      </c>
    </row>
    <row r="98" spans="1:14" x14ac:dyDescent="0.2">
      <c r="A98" s="4" t="s">
        <v>262</v>
      </c>
      <c r="B98" s="4" t="s">
        <v>262</v>
      </c>
      <c r="C98" s="4" t="s">
        <v>261</v>
      </c>
      <c r="D98" s="4" t="s">
        <v>263</v>
      </c>
      <c r="E98" s="4" t="s">
        <v>462</v>
      </c>
      <c r="F98" s="4" t="s">
        <v>473</v>
      </c>
      <c r="G98" s="7" t="s">
        <v>490</v>
      </c>
      <c r="H98" s="7" t="s">
        <v>1094</v>
      </c>
      <c r="I98" s="7"/>
      <c r="J98" s="7"/>
      <c r="K98" s="4" t="s">
        <v>481</v>
      </c>
      <c r="L98" s="4" t="s">
        <v>485</v>
      </c>
      <c r="M98" s="4" t="str">
        <f t="shared" ref="M98" si="8">"true"</f>
        <v>true</v>
      </c>
      <c r="N98" s="4" t="str">
        <f>"{ ""workOsisID"": """&amp;G98&amp;""", ""bookName"": """&amp;A98&amp;""", ""bookSubtitle"": """&amp;B98&amp;""", ""bookOsisID"": """&amp;C98&amp;""", ""paratext"": "&amp;IF(D98="","null",""""&amp;D98&amp;"""")&amp;", ""groups"": "&amp;E98&amp;", ""aliases"": "&amp;F98&amp;", ""chapterLabel"": """&amp;K98&amp;""", ""verseLabel"": """&amp;L98&amp;""", ""authors"": "&amp;H98&amp;", ""dateEarliest"": """&amp;I98&amp;""", ""dateLatest"": """&amp;J98&amp;""", ""hasData"": "&amp;M98&amp;" },"</f>
        <v>{ "workOsisID": "KJVA", "bookName": "Epistle to the Laodiceans", "bookSubtitle": "Epistle to the Laodiceans", "bookOsisID": "EpLao", "paratext": "LAO", "groups": ["Vulgate", "Apocrypha"], "aliases": ["EpLao","LAO","Laodiceans"], "chapterLabel": "Chapter", "verseLabel": "Verse", "authors": [], "dateEarliest": "", "dateLatest": "", "hasData": true },</v>
      </c>
    </row>
    <row r="99" spans="1:14" x14ac:dyDescent="0.2">
      <c r="A99" t="s">
        <v>265</v>
      </c>
      <c r="C99" t="s">
        <v>264</v>
      </c>
      <c r="D99" t="s">
        <v>266</v>
      </c>
      <c r="E99" t="s">
        <v>462</v>
      </c>
      <c r="F99" s="16" t="s">
        <v>1094</v>
      </c>
      <c r="H99" s="8" t="s">
        <v>1129</v>
      </c>
      <c r="K99" t="s">
        <v>481</v>
      </c>
      <c r="L99" t="s">
        <v>485</v>
      </c>
      <c r="M99" t="str">
        <f t="shared" si="4"/>
        <v>false</v>
      </c>
      <c r="N99" s="4" t="str">
        <f>"{ ""workOsisID"": """&amp;G99&amp;""", ""bookName"": """&amp;A99&amp;""", ""bookSubtitle"": """&amp;B99&amp;""", ""bookOsisID"": """&amp;C99&amp;""", ""paratext"": "&amp;IF(D99="","null",""""&amp;D99&amp;"""")&amp;", ""groups"": "&amp;E99&amp;", ""aliases"": "&amp;F99&amp;", ""chapterLabel"": """&amp;K99&amp;""", ""verseLabel"": """&amp;L99&amp;""", ""authors"": "&amp;H99&amp;", ""dateEarliest"": """&amp;I99&amp;""", ""dateLatest"": """&amp;J99&amp;""", ""hasData"": "&amp;M99&amp;" },"</f>
        <v>{ "workOsisID": "", "bookName": "5 Ezra", "bookSubtitle": "", "bookOsisID": "5Ezra", "paratext": "5EZ", "groups": ["Vulgate", "Apocrypha"], "aliases": [], "chapterLabel": "Chapter", "verseLabel": "Verse", "authors": ["Ezra"], "dateEarliest": "", "dateLatest": "", "hasData": false },</v>
      </c>
    </row>
    <row r="100" spans="1:14" x14ac:dyDescent="0.2">
      <c r="A100" t="s">
        <v>268</v>
      </c>
      <c r="C100" t="s">
        <v>267</v>
      </c>
      <c r="D100" t="s">
        <v>269</v>
      </c>
      <c r="E100" t="s">
        <v>462</v>
      </c>
      <c r="F100" t="s">
        <v>1150</v>
      </c>
      <c r="H100" s="8" t="s">
        <v>1129</v>
      </c>
      <c r="K100" t="s">
        <v>481</v>
      </c>
      <c r="L100" t="s">
        <v>485</v>
      </c>
      <c r="M100" t="str">
        <f t="shared" si="4"/>
        <v>false</v>
      </c>
      <c r="N100" s="4" t="str">
        <f>"{ ""workOsisID"": """&amp;G100&amp;""", ""bookName"": """&amp;A100&amp;""", ""bookSubtitle"": """&amp;B100&amp;""", ""bookOsisID"": """&amp;C100&amp;""", ""paratext"": "&amp;IF(D100="","null",""""&amp;D100&amp;"""")&amp;", ""groups"": "&amp;E100&amp;", ""aliases"": "&amp;F100&amp;", ""chapterLabel"": """&amp;K100&amp;""", ""verseLabel"": """&amp;L100&amp;""", ""authors"": "&amp;H100&amp;", ""dateEarliest"": """&amp;I100&amp;""", ""dateLatest"": """&amp;J100&amp;""", ""hasData"": "&amp;M100&amp;" },"</f>
        <v>{ "workOsisID": "", "bookName": "4 Ezra", "bookSubtitle": "", "bookOsisID": "4Ezra", "paratext": "EZA", "groups": ["Vulgate", "Apocrypha"], "aliases": ["Ezra Apocalypse"], "chapterLabel": "Chapter", "verseLabel": "Verse", "authors": ["Ezra"], "dateEarliest": "", "dateLatest": "", "hasData": false },</v>
      </c>
    </row>
    <row r="101" spans="1:14" x14ac:dyDescent="0.2">
      <c r="A101" t="s">
        <v>271</v>
      </c>
      <c r="C101" t="s">
        <v>270</v>
      </c>
      <c r="D101" t="s">
        <v>272</v>
      </c>
      <c r="E101" t="s">
        <v>462</v>
      </c>
      <c r="F101" s="16" t="s">
        <v>1094</v>
      </c>
      <c r="H101" s="8" t="s">
        <v>1129</v>
      </c>
      <c r="K101" t="s">
        <v>481</v>
      </c>
      <c r="L101" t="s">
        <v>485</v>
      </c>
      <c r="M101" t="str">
        <f t="shared" si="4"/>
        <v>false</v>
      </c>
      <c r="N101" s="4" t="str">
        <f>"{ ""workOsisID"": """&amp;G101&amp;""", ""bookName"": """&amp;A101&amp;""", ""bookSubtitle"": """&amp;B101&amp;""", ""bookOsisID"": """&amp;C101&amp;""", ""paratext"": "&amp;IF(D101="","null",""""&amp;D101&amp;"""")&amp;", ""groups"": "&amp;E101&amp;", ""aliases"": "&amp;F101&amp;", ""chapterLabel"": """&amp;K101&amp;""", ""verseLabel"": """&amp;L101&amp;""", ""authors"": "&amp;H101&amp;", ""dateEarliest"": """&amp;I101&amp;""", ""dateLatest"": """&amp;J101&amp;""", ""hasData"": "&amp;M101&amp;" },"</f>
        <v>{ "workOsisID": "", "bookName": "6 Ezra", "bookSubtitle": "", "bookOsisID": "6Ezra", "paratext": "6EZ", "groups": ["Vulgate", "Apocrypha"], "aliases": [], "chapterLabel": "Chapter", "verseLabel": "Verse", "authors": ["Ezra"], "dateEarliest": "", "dateLatest": "", "hasData": false },</v>
      </c>
    </row>
    <row r="102" spans="1:14" x14ac:dyDescent="0.2">
      <c r="A102" t="s">
        <v>390</v>
      </c>
      <c r="C102" t="s">
        <v>273</v>
      </c>
      <c r="D102" t="s">
        <v>274</v>
      </c>
      <c r="E102" t="s">
        <v>462</v>
      </c>
      <c r="F102" t="s">
        <v>1094</v>
      </c>
      <c r="H102" s="8" t="s">
        <v>1100</v>
      </c>
      <c r="K102" t="s">
        <v>481</v>
      </c>
      <c r="L102" t="s">
        <v>485</v>
      </c>
      <c r="M102" t="str">
        <f t="shared" si="4"/>
        <v>false</v>
      </c>
      <c r="N102" s="4" t="str">
        <f>"{ ""workOsisID"": """&amp;G102&amp;""", ""bookName"": """&amp;A102&amp;""", ""bookSubtitle"": """&amp;B102&amp;""", ""bookOsisID"": """&amp;C102&amp;""", ""paratext"": "&amp;IF(D102="","null",""""&amp;D102&amp;"""")&amp;", ""groups"": "&amp;E102&amp;", ""aliases"": "&amp;F102&amp;", ""chapterLabel"": """&amp;K102&amp;""", ""verseLabel"": """&amp;L102&amp;""", ""authors"": "&amp;H102&amp;", ""dateEarliest"": """&amp;I102&amp;""", ""dateLatest"": """&amp;J102&amp;""", ""hasData"": "&amp;M102&amp;" },"</f>
        <v>{ "workOsisID": "", "bookName": "Prayer of Solomon", "bookSubtitle": "", "bookOsisID": "PrSol", "paratext": "PSO", "groups": ["Vulgate", "Apocrypha"], "aliases": [], "chapterLabel": "Chapter", "verseLabel": "Verse", "authors": ["Solomon"], "dateEarliest": "", "dateLatest": "", "hasData": false },</v>
      </c>
    </row>
    <row r="103" spans="1:14" x14ac:dyDescent="0.2">
      <c r="A103" t="s">
        <v>391</v>
      </c>
      <c r="C103" t="s">
        <v>275</v>
      </c>
      <c r="D103" t="s">
        <v>276</v>
      </c>
      <c r="E103" t="s">
        <v>462</v>
      </c>
      <c r="F103" t="s">
        <v>1094</v>
      </c>
      <c r="H103" s="8" t="s">
        <v>1011</v>
      </c>
      <c r="K103" t="s">
        <v>481</v>
      </c>
      <c r="L103" t="s">
        <v>485</v>
      </c>
      <c r="M103" t="str">
        <f t="shared" si="4"/>
        <v>false</v>
      </c>
      <c r="N103" s="4" t="str">
        <f>"{ ""workOsisID"": """&amp;G103&amp;""", ""bookName"": """&amp;A103&amp;""", ""bookSubtitle"": """&amp;B103&amp;""", ""bookOsisID"": """&amp;C103&amp;""", ""paratext"": "&amp;IF(D103="","null",""""&amp;D103&amp;"""")&amp;", ""groups"": "&amp;E103&amp;", ""aliases"": "&amp;F103&amp;", ""chapterLabel"": """&amp;K103&amp;""", ""verseLabel"": """&amp;L103&amp;""", ""authors"": "&amp;H103&amp;", ""dateEarliest"": """&amp;I103&amp;""", ""dateLatest"": """&amp;J103&amp;""", ""hasData"": "&amp;M103&amp;" },"</f>
        <v>{ "workOsisID": "", "bookName": "Prayer of Jeremiah", "bookSubtitle": "", "bookOsisID": "PrJer", "paratext": "PJE", "groups": ["Vulgate", "Apocrypha"], "aliases": [], "chapterLabel": "Chapter", "verseLabel": "Verse", "authors": ["Jeremiah"], "dateEarliest": "", "dateLatest": "", "hasData": false },</v>
      </c>
    </row>
    <row r="104" spans="1:14" x14ac:dyDescent="0.2">
      <c r="A104" t="s">
        <v>278</v>
      </c>
      <c r="C104" t="s">
        <v>277</v>
      </c>
      <c r="D104" t="s">
        <v>279</v>
      </c>
      <c r="E104" t="s">
        <v>463</v>
      </c>
      <c r="F104" t="s">
        <v>1151</v>
      </c>
      <c r="H104" s="8" t="s">
        <v>1130</v>
      </c>
      <c r="K104" t="s">
        <v>481</v>
      </c>
      <c r="L104" t="s">
        <v>485</v>
      </c>
      <c r="M104" t="str">
        <f t="shared" si="4"/>
        <v>false</v>
      </c>
      <c r="N104" s="4" t="str">
        <f>"{ ""workOsisID"": """&amp;G104&amp;""", ""bookName"": """&amp;A104&amp;""", ""bookSubtitle"": """&amp;B104&amp;""", ""bookOsisID"": """&amp;C104&amp;""", ""paratext"": "&amp;IF(D104="","null",""""&amp;D104&amp;"""")&amp;", ""groups"": "&amp;E104&amp;", ""aliases"": "&amp;F104&amp;", ""chapterLabel"": """&amp;K104&amp;""", ""verseLabel"": """&amp;L104&amp;""", ""authors"": "&amp;H104&amp;", ""dateEarliest"": """&amp;I104&amp;""", ""dateLatest"": """&amp;J104&amp;""", ""hasData"": "&amp;M104&amp;" },"</f>
        <v>{ "workOsisID": "", "bookName": "1 Enoch", "bookSubtitle": "", "bookOsisID": "1En", "paratext": "ENO", "groups": ["Ethiopian Orthodox Canon", "Apocrypha"], "aliases": ["Ethiopic Apocalypse of Enoch","Ethiopic Enoch"], "chapterLabel": "Chapter", "verseLabel": "Verse", "authors": ["Enoch"], "dateEarliest": "", "dateLatest": "", "hasData": false },</v>
      </c>
    </row>
    <row r="105" spans="1:14" x14ac:dyDescent="0.2">
      <c r="A105" t="s">
        <v>281</v>
      </c>
      <c r="C105" t="s">
        <v>280</v>
      </c>
      <c r="D105" t="s">
        <v>282</v>
      </c>
      <c r="E105" t="s">
        <v>463</v>
      </c>
      <c r="F105" t="s">
        <v>1094</v>
      </c>
      <c r="H105" s="8" t="s">
        <v>1094</v>
      </c>
      <c r="K105" t="s">
        <v>481</v>
      </c>
      <c r="L105" t="s">
        <v>485</v>
      </c>
      <c r="M105" t="str">
        <f t="shared" si="4"/>
        <v>false</v>
      </c>
      <c r="N105" s="4" t="str">
        <f>"{ ""workOsisID"": """&amp;G105&amp;""", ""bookName"": """&amp;A105&amp;""", ""bookSubtitle"": """&amp;B105&amp;""", ""bookOsisID"": """&amp;C105&amp;""", ""paratext"": "&amp;IF(D105="","null",""""&amp;D105&amp;"""")&amp;", ""groups"": "&amp;E105&amp;", ""aliases"": "&amp;F105&amp;", ""chapterLabel"": """&amp;K105&amp;""", ""verseLabel"": """&amp;L105&amp;""", ""authors"": "&amp;H105&amp;", ""dateEarliest"": """&amp;I105&amp;""", ""dateLatest"": """&amp;J105&amp;""", ""hasData"": "&amp;M105&amp;" },"</f>
        <v>{ "workOsisID": "", "bookName": "Jubilees", "bookSubtitle": "", "bookOsisID": "Jub", "paratext": "JUB", "groups": ["Ethiopian Orthodox Canon", "Apocrypha"], "aliases": [], "chapterLabel": "Chapter", "verseLabel": "Verse", "authors": [], "dateEarliest": "", "dateLatest": "", "hasData": false },</v>
      </c>
    </row>
    <row r="106" spans="1:14" x14ac:dyDescent="0.2">
      <c r="A106" t="s">
        <v>284</v>
      </c>
      <c r="C106" t="s">
        <v>283</v>
      </c>
      <c r="D106" t="s">
        <v>285</v>
      </c>
      <c r="E106" t="s">
        <v>463</v>
      </c>
      <c r="F106" t="s">
        <v>1152</v>
      </c>
      <c r="H106" s="8" t="s">
        <v>1117</v>
      </c>
      <c r="K106" t="s">
        <v>481</v>
      </c>
      <c r="L106" t="s">
        <v>485</v>
      </c>
      <c r="M106" t="str">
        <f t="shared" si="4"/>
        <v>false</v>
      </c>
      <c r="N106" s="4" t="str">
        <f>"{ ""workOsisID"": """&amp;G106&amp;""", ""bookName"": """&amp;A106&amp;""", ""bookSubtitle"": """&amp;B106&amp;""", ""bookOsisID"": """&amp;C106&amp;""", ""paratext"": "&amp;IF(D106="","null",""""&amp;D106&amp;"""")&amp;", ""groups"": "&amp;E106&amp;", ""aliases"": "&amp;F106&amp;", ""chapterLabel"": """&amp;K106&amp;""", ""verseLabel"": """&amp;L106&amp;""", ""authors"": "&amp;H106&amp;", ""dateEarliest"": """&amp;I106&amp;""", ""dateLatest"": """&amp;J106&amp;""", ""hasData"": "&amp;M106&amp;" },"</f>
        <v>{ "workOsisID": "", "bookName": "4 Baruch", "bookSubtitle": "", "bookOsisID": "4Bar", "paratext": "4BA", "groups": ["Ethiopian Orthodox Canon", "Apocrypha"], "aliases": ["Paraleipomena Jeremiou"], "chapterLabel": "Chapter", "verseLabel": "Verse", "authors": ["Baruch"], "dateEarliest": "", "dateLatest": "", "hasData": false },</v>
      </c>
    </row>
    <row r="107" spans="1:14" x14ac:dyDescent="0.2">
      <c r="A107" t="s">
        <v>392</v>
      </c>
      <c r="C107" t="s">
        <v>286</v>
      </c>
      <c r="D107" t="s">
        <v>287</v>
      </c>
      <c r="E107" t="s">
        <v>463</v>
      </c>
      <c r="F107" t="s">
        <v>1094</v>
      </c>
      <c r="H107" s="8" t="s">
        <v>1094</v>
      </c>
      <c r="K107" t="s">
        <v>481</v>
      </c>
      <c r="L107" t="s">
        <v>485</v>
      </c>
      <c r="M107" t="str">
        <f t="shared" si="4"/>
        <v>false</v>
      </c>
      <c r="N107" s="4" t="str">
        <f>"{ ""workOsisID"": """&amp;G107&amp;""", ""bookName"": """&amp;A107&amp;""", ""bookSubtitle"": """&amp;B107&amp;""", ""bookOsisID"": """&amp;C107&amp;""", ""paratext"": "&amp;IF(D107="","null",""""&amp;D107&amp;"""")&amp;", ""groups"": "&amp;E107&amp;", ""aliases"": "&amp;F107&amp;", ""chapterLabel"": """&amp;K107&amp;""", ""verseLabel"": """&amp;L107&amp;""", ""authors"": "&amp;H107&amp;", ""dateEarliest"": """&amp;I107&amp;""", ""dateLatest"": """&amp;J107&amp;""", ""hasData"": "&amp;M107&amp;" },"</f>
        <v>{ "workOsisID": "", "bookName": "1 Meqabyan", "bookSubtitle": "", "bookOsisID": "1Meq", "paratext": "1MQ", "groups": ["Ethiopian Orthodox Canon", "Apocrypha"], "aliases": [], "chapterLabel": "Chapter", "verseLabel": "Verse", "authors": [], "dateEarliest": "", "dateLatest": "", "hasData": false },</v>
      </c>
    </row>
    <row r="108" spans="1:14" x14ac:dyDescent="0.2">
      <c r="A108" t="s">
        <v>393</v>
      </c>
      <c r="C108" t="s">
        <v>288</v>
      </c>
      <c r="D108" t="s">
        <v>289</v>
      </c>
      <c r="E108" t="s">
        <v>463</v>
      </c>
      <c r="F108" t="s">
        <v>1094</v>
      </c>
      <c r="H108" s="8" t="s">
        <v>1094</v>
      </c>
      <c r="K108" t="s">
        <v>481</v>
      </c>
      <c r="L108" t="s">
        <v>485</v>
      </c>
      <c r="M108" t="str">
        <f t="shared" si="4"/>
        <v>false</v>
      </c>
      <c r="N108" s="4" t="str">
        <f>"{ ""workOsisID"": """&amp;G108&amp;""", ""bookName"": """&amp;A108&amp;""", ""bookSubtitle"": """&amp;B108&amp;""", ""bookOsisID"": """&amp;C108&amp;""", ""paratext"": "&amp;IF(D108="","null",""""&amp;D108&amp;"""")&amp;", ""groups"": "&amp;E108&amp;", ""aliases"": "&amp;F108&amp;", ""chapterLabel"": """&amp;K108&amp;""", ""verseLabel"": """&amp;L108&amp;""", ""authors"": "&amp;H108&amp;", ""dateEarliest"": """&amp;I108&amp;""", ""dateLatest"": """&amp;J108&amp;""", ""hasData"": "&amp;M108&amp;" },"</f>
        <v>{ "workOsisID": "", "bookName": "2 Meqabyan", "bookSubtitle": "", "bookOsisID": "2Meq", "paratext": "2MQ", "groups": ["Ethiopian Orthodox Canon", "Apocrypha"], "aliases": [], "chapterLabel": "Chapter", "verseLabel": "Verse", "authors": [], "dateEarliest": "", "dateLatest": "", "hasData": false },</v>
      </c>
    </row>
    <row r="109" spans="1:14" x14ac:dyDescent="0.2">
      <c r="A109" t="s">
        <v>394</v>
      </c>
      <c r="C109" t="s">
        <v>290</v>
      </c>
      <c r="D109" t="s">
        <v>291</v>
      </c>
      <c r="E109" t="s">
        <v>463</v>
      </c>
      <c r="F109" t="s">
        <v>1094</v>
      </c>
      <c r="H109" s="8" t="s">
        <v>1094</v>
      </c>
      <c r="K109" t="s">
        <v>481</v>
      </c>
      <c r="L109" t="s">
        <v>485</v>
      </c>
      <c r="M109" t="str">
        <f t="shared" si="4"/>
        <v>false</v>
      </c>
      <c r="N109" s="4" t="str">
        <f>"{ ""workOsisID"": """&amp;G109&amp;""", ""bookName"": """&amp;A109&amp;""", ""bookSubtitle"": """&amp;B109&amp;""", ""bookOsisID"": """&amp;C109&amp;""", ""paratext"": "&amp;IF(D109="","null",""""&amp;D109&amp;"""")&amp;", ""groups"": "&amp;E109&amp;", ""aliases"": "&amp;F109&amp;", ""chapterLabel"": """&amp;K109&amp;""", ""verseLabel"": """&amp;L109&amp;""", ""authors"": "&amp;H109&amp;", ""dateEarliest"": """&amp;I109&amp;""", ""dateLatest"": """&amp;J109&amp;""", ""hasData"": "&amp;M109&amp;" },"</f>
        <v>{ "workOsisID": "", "bookName": "3 Meqabyan", "bookSubtitle": "", "bookOsisID": "3Meq", "paratext": "3MQ", "groups": ["Ethiopian Orthodox Canon", "Apocrypha"], "aliases": [], "chapterLabel": "Chapter", "verseLabel": "Verse", "authors": [], "dateEarliest": "", "dateLatest": "", "hasData": false },</v>
      </c>
    </row>
    <row r="110" spans="1:14" x14ac:dyDescent="0.2">
      <c r="A110" t="s">
        <v>395</v>
      </c>
      <c r="C110" t="s">
        <v>292</v>
      </c>
      <c r="D110" t="s">
        <v>293</v>
      </c>
      <c r="E110" t="s">
        <v>463</v>
      </c>
      <c r="F110" t="s">
        <v>1153</v>
      </c>
      <c r="H110" s="8" t="s">
        <v>1094</v>
      </c>
      <c r="K110" t="s">
        <v>481</v>
      </c>
      <c r="L110" t="s">
        <v>485</v>
      </c>
      <c r="M110" t="str">
        <f t="shared" si="4"/>
        <v>false</v>
      </c>
      <c r="N110" s="4" t="str">
        <f>"{ ""workOsisID"": """&amp;G110&amp;""", ""bookName"": """&amp;A110&amp;""", ""bookSubtitle"": """&amp;B110&amp;""", ""bookOsisID"": """&amp;C110&amp;""", ""paratext"": "&amp;IF(D110="","null",""""&amp;D110&amp;"""")&amp;", ""groups"": "&amp;E110&amp;", ""aliases"": "&amp;F110&amp;", ""chapterLabel"": """&amp;K110&amp;""", ""verseLabel"": """&amp;L110&amp;""", ""authors"": "&amp;H110&amp;", ""dateEarliest"": """&amp;I110&amp;""", ""dateLatest"": """&amp;J110&amp;""", ""hasData"": "&amp;M110&amp;" },"</f>
        <v>{ "workOsisID": "", "bookName": "Reproof", "bookSubtitle": "", "bookOsisID": "Rep", "paratext": "REP", "groups": ["Ethiopian Orthodox Canon", "Apocrypha"], "aliases": ["Tegsas","Tegsats","Taagsas"], "chapterLabel": "Chapter", "verseLabel": "Verse", "authors": [], "dateEarliest": "", "dateLatest": "", "hasData": false },</v>
      </c>
    </row>
    <row r="111" spans="1:14" x14ac:dyDescent="0.2">
      <c r="A111" t="s">
        <v>295</v>
      </c>
      <c r="C111" t="s">
        <v>294</v>
      </c>
      <c r="E111" t="s">
        <v>463</v>
      </c>
      <c r="F111" t="s">
        <v>1154</v>
      </c>
      <c r="H111" s="8" t="s">
        <v>1094</v>
      </c>
      <c r="K111" t="s">
        <v>481</v>
      </c>
      <c r="L111" t="s">
        <v>485</v>
      </c>
      <c r="M111" t="str">
        <f t="shared" si="4"/>
        <v>false</v>
      </c>
      <c r="N111" s="4" t="str">
        <f>"{ ""workOsisID"": """&amp;G111&amp;""", ""bookName"": """&amp;A111&amp;""", ""bookSubtitle"": """&amp;B111&amp;""", ""bookOsisID"": """&amp;C111&amp;""", ""paratext"": "&amp;IF(D111="","null",""""&amp;D111&amp;"""")&amp;", ""groups"": "&amp;E111&amp;", ""aliases"": "&amp;F111&amp;", ""chapterLabel"": """&amp;K111&amp;""", ""verseLabel"": """&amp;L111&amp;""", ""authors"": "&amp;H111&amp;", ""dateEarliest"": """&amp;I111&amp;""", ""dateLatest"": """&amp;J111&amp;""", ""hasData"": "&amp;M111&amp;" },"</f>
        <v>{ "workOsisID": "", "bookName": "Additions to Jeremiah", "bookSubtitle": "", "bookOsisID": "AddJer", "paratext": null, "groups": ["Ethiopian Orthodox Canon", "Apocrypha"], "aliases": ["Rest of Jeremiah"], "chapterLabel": "Chapter", "verseLabel": "Verse", "authors": [], "dateEarliest": "", "dateLatest": "", "hasData": false },</v>
      </c>
    </row>
    <row r="112" spans="1:14" x14ac:dyDescent="0.2">
      <c r="A112" t="s">
        <v>396</v>
      </c>
      <c r="C112" t="s">
        <v>296</v>
      </c>
      <c r="E112" t="s">
        <v>463</v>
      </c>
      <c r="F112" t="s">
        <v>1155</v>
      </c>
      <c r="H112" s="8" t="s">
        <v>1094</v>
      </c>
      <c r="K112" t="s">
        <v>481</v>
      </c>
      <c r="L112" t="s">
        <v>485</v>
      </c>
      <c r="M112" t="str">
        <f t="shared" si="4"/>
        <v>false</v>
      </c>
      <c r="N112" s="4" t="str">
        <f>"{ ""workOsisID"": """&amp;G112&amp;""", ""bookName"": """&amp;A112&amp;""", ""bookSubtitle"": """&amp;B112&amp;""", ""bookOsisID"": """&amp;C112&amp;""", ""paratext"": "&amp;IF(D112="","null",""""&amp;D112&amp;"""")&amp;", ""groups"": "&amp;E112&amp;", ""aliases"": "&amp;F112&amp;", ""chapterLabel"": """&amp;K112&amp;""", ""verseLabel"": """&amp;L112&amp;""", ""authors"": "&amp;H112&amp;", ""dateEarliest"": """&amp;I112&amp;""", ""dateLatest"": """&amp;J112&amp;""", ""hasData"": "&amp;M112&amp;" },"</f>
        <v>{ "workOsisID": "", "bookName": "Pseudo-Josephus", "bookSubtitle": "", "bookOsisID": "PsJos", "paratext": null, "groups": ["Ethiopian Orthodox Canon", "Apocrypha"], "aliases": ["Jossipon","Joseph ben Gorion's Medieval History of the Jews"], "chapterLabel": "Chapter", "verseLabel": "Verse", "authors": [], "dateEarliest": "", "dateLatest": "", "hasData": false },</v>
      </c>
    </row>
    <row r="113" spans="1:14" x14ac:dyDescent="0.2">
      <c r="A113" t="s">
        <v>397</v>
      </c>
      <c r="C113" t="s">
        <v>297</v>
      </c>
      <c r="D113" t="s">
        <v>298</v>
      </c>
      <c r="E113" t="s">
        <v>464</v>
      </c>
      <c r="F113" t="s">
        <v>1094</v>
      </c>
      <c r="H113" s="8" t="s">
        <v>1094</v>
      </c>
      <c r="K113" t="s">
        <v>481</v>
      </c>
      <c r="L113" t="s">
        <v>485</v>
      </c>
      <c r="M113" t="str">
        <f t="shared" si="4"/>
        <v>false</v>
      </c>
      <c r="N113" s="4" t="str">
        <f>"{ ""workOsisID"": """&amp;G113&amp;""", ""bookName"": """&amp;A113&amp;""", ""bookSubtitle"": """&amp;B113&amp;""", ""bookOsisID"": """&amp;C113&amp;""", ""paratext"": "&amp;IF(D113="","null",""""&amp;D113&amp;"""")&amp;", ""groups"": "&amp;E113&amp;", ""aliases"": "&amp;F113&amp;", ""chapterLabel"": """&amp;K113&amp;""", ""verseLabel"": """&amp;L113&amp;""", ""authors"": "&amp;H113&amp;", ""dateEarliest"": """&amp;I113&amp;""", ""dateLatest"": """&amp;J113&amp;""", ""hasData"": "&amp;M113&amp;" },"</f>
        <v>{ "workOsisID": "", "bookName": "Epistle of the Corinthians to Paul", "bookSubtitle": "", "bookOsisID": "EpCorPaul", "paratext": "COP", "groups": ["Armenian Orthodox Canon", "Apocrypha"], "aliases": [], "chapterLabel": "Chapter", "verseLabel": "Verse", "authors": [], "dateEarliest": "", "dateLatest": "", "hasData": false },</v>
      </c>
    </row>
    <row r="114" spans="1:14" x14ac:dyDescent="0.2">
      <c r="A114" t="s">
        <v>300</v>
      </c>
      <c r="C114" t="s">
        <v>299</v>
      </c>
      <c r="D114" t="s">
        <v>301</v>
      </c>
      <c r="E114" t="s">
        <v>464</v>
      </c>
      <c r="F114" t="s">
        <v>1094</v>
      </c>
      <c r="H114" s="8" t="s">
        <v>1094</v>
      </c>
      <c r="K114" t="s">
        <v>481</v>
      </c>
      <c r="L114" t="s">
        <v>485</v>
      </c>
      <c r="M114" t="str">
        <f t="shared" si="4"/>
        <v>false</v>
      </c>
      <c r="N114" s="4" t="str">
        <f>"{ ""workOsisID"": """&amp;G114&amp;""", ""bookName"": """&amp;A114&amp;""", ""bookSubtitle"": """&amp;B114&amp;""", ""bookOsisID"": """&amp;C114&amp;""", ""paratext"": "&amp;IF(D114="","null",""""&amp;D114&amp;"""")&amp;", ""groups"": "&amp;E114&amp;", ""aliases"": "&amp;F114&amp;", ""chapterLabel"": """&amp;K114&amp;""", ""verseLabel"": """&amp;L114&amp;""", ""authors"": "&amp;H114&amp;", ""dateEarliest"": """&amp;I114&amp;""", ""dateLatest"": """&amp;J114&amp;""", ""hasData"": "&amp;M114&amp;" },"</f>
        <v>{ "workOsisID": "", "bookName": "3 Corinthians", "bookSubtitle": "", "bookOsisID": "3Cor", "paratext": "3CO", "groups": ["Armenian Orthodox Canon", "Apocrypha"], "aliases": [], "chapterLabel": "Chapter", "verseLabel": "Verse", "authors": [], "dateEarliest": "", "dateLatest": "", "hasData": false },</v>
      </c>
    </row>
    <row r="115" spans="1:14" x14ac:dyDescent="0.2">
      <c r="A115" t="s">
        <v>398</v>
      </c>
      <c r="C115" t="s">
        <v>302</v>
      </c>
      <c r="D115" t="s">
        <v>303</v>
      </c>
      <c r="E115" t="s">
        <v>464</v>
      </c>
      <c r="F115" t="s">
        <v>1094</v>
      </c>
      <c r="H115" s="8" t="s">
        <v>1094</v>
      </c>
      <c r="K115" t="s">
        <v>481</v>
      </c>
      <c r="L115" t="s">
        <v>485</v>
      </c>
      <c r="M115" t="str">
        <f t="shared" si="4"/>
        <v>false</v>
      </c>
      <c r="N115" s="4" t="str">
        <f>"{ ""workOsisID"": """&amp;G115&amp;""", ""bookName"": """&amp;A115&amp;""", ""bookSubtitle"": """&amp;B115&amp;""", ""bookOsisID"": """&amp;C115&amp;""", ""paratext"": "&amp;IF(D115="","null",""""&amp;D115&amp;"""")&amp;", ""groups"": "&amp;E115&amp;", ""aliases"": "&amp;F115&amp;", ""chapterLabel"": """&amp;K115&amp;""", ""verseLabel"": """&amp;L115&amp;""", ""authors"": "&amp;H115&amp;", ""dateEarliest"": """&amp;I115&amp;""", ""dateLatest"": """&amp;J115&amp;""", ""hasData"": "&amp;M115&amp;" },"</f>
        <v>{ "workOsisID": "", "bookName": "Words of Sirach", "bookSubtitle": "", "bookOsisID": "WSir", "paratext": "WSI", "groups": ["Armenian Orthodox Canon", "Apocrypha"], "aliases": [], "chapterLabel": "Chapter", "verseLabel": "Verse", "authors": [], "dateEarliest": "", "dateLatest": "", "hasData": false },</v>
      </c>
    </row>
    <row r="116" spans="1:14" x14ac:dyDescent="0.2">
      <c r="A116" t="s">
        <v>399</v>
      </c>
      <c r="C116" t="s">
        <v>304</v>
      </c>
      <c r="D116" t="s">
        <v>305</v>
      </c>
      <c r="E116" t="s">
        <v>464</v>
      </c>
      <c r="F116" t="s">
        <v>1094</v>
      </c>
      <c r="H116" s="8" t="s">
        <v>1131</v>
      </c>
      <c r="K116" t="s">
        <v>481</v>
      </c>
      <c r="L116" t="s">
        <v>485</v>
      </c>
      <c r="M116" t="str">
        <f t="shared" si="4"/>
        <v>false</v>
      </c>
      <c r="N116" s="4" t="str">
        <f>"{ ""workOsisID"": """&amp;G116&amp;""", ""bookName"": """&amp;A116&amp;""", ""bookSubtitle"": """&amp;B116&amp;""", ""bookOsisID"": """&amp;C116&amp;""", ""paratext"": "&amp;IF(D116="","null",""""&amp;D116&amp;"""")&amp;", ""groups"": "&amp;E116&amp;", ""aliases"": "&amp;F116&amp;", ""chapterLabel"": """&amp;K116&amp;""", ""verseLabel"": """&amp;L116&amp;""", ""authors"": "&amp;H116&amp;", ""dateEarliest"": """&amp;I116&amp;""", ""dateLatest"": """&amp;J116&amp;""", ""hasData"": "&amp;M116&amp;" },"</f>
        <v>{ "workOsisID": "", "bookName": "Prayer of Euthalius", "bookSubtitle": "", "bookOsisID": "PrEuth", "paratext": "EUT", "groups": ["Armenian Orthodox Canon", "Apocrypha"], "aliases": [], "chapterLabel": "Chapter", "verseLabel": "Verse", "authors": ["Euthalius"], "dateEarliest": "", "dateLatest": "", "hasData": false },</v>
      </c>
    </row>
    <row r="117" spans="1:14" x14ac:dyDescent="0.2">
      <c r="A117" t="s">
        <v>400</v>
      </c>
      <c r="C117" t="s">
        <v>306</v>
      </c>
      <c r="D117" t="s">
        <v>307</v>
      </c>
      <c r="E117" t="s">
        <v>464</v>
      </c>
      <c r="F117" t="s">
        <v>1094</v>
      </c>
      <c r="H117" s="8" t="s">
        <v>1132</v>
      </c>
      <c r="K117" t="s">
        <v>481</v>
      </c>
      <c r="L117" t="s">
        <v>485</v>
      </c>
      <c r="M117" t="str">
        <f t="shared" si="4"/>
        <v>false</v>
      </c>
      <c r="N117" s="4" t="str">
        <f>"{ ""workOsisID"": """&amp;G117&amp;""", ""bookName"": """&amp;A117&amp;""", ""bookSubtitle"": """&amp;B117&amp;""", ""bookOsisID"": """&amp;C117&amp;""", ""paratext"": "&amp;IF(D117="","null",""""&amp;D117&amp;"""")&amp;", ""groups"": "&amp;E117&amp;", ""aliases"": "&amp;F117&amp;", ""chapterLabel"": """&amp;K117&amp;""", ""verseLabel"": """&amp;L117&amp;""", ""authors"": "&amp;H117&amp;", ""dateEarliest"": """&amp;I117&amp;""", ""dateLatest"": """&amp;J117&amp;""", ""hasData"": "&amp;M117&amp;" },"</f>
        <v>{ "workOsisID": "", "bookName": "Dormition of John", "bookSubtitle": "", "bookOsisID": "DormJohn", "paratext": "DOJ", "groups": ["Armenian Orthodox Canon", "Apocrypha"], "aliases": [], "chapterLabel": "Chapter", "verseLabel": "Verse", "authors": ["John"], "dateEarliest": "", "dateLatest": "", "hasData": false },</v>
      </c>
    </row>
    <row r="118" spans="1:14" x14ac:dyDescent="0.2">
      <c r="A118" t="s">
        <v>309</v>
      </c>
      <c r="C118" t="s">
        <v>308</v>
      </c>
      <c r="E118" t="s">
        <v>464</v>
      </c>
      <c r="F118" t="s">
        <v>1094</v>
      </c>
      <c r="H118" s="8" t="s">
        <v>1094</v>
      </c>
      <c r="K118" t="s">
        <v>481</v>
      </c>
      <c r="L118" t="s">
        <v>485</v>
      </c>
      <c r="M118" t="str">
        <f t="shared" si="4"/>
        <v>false</v>
      </c>
      <c r="N118" s="4" t="str">
        <f>"{ ""workOsisID"": """&amp;G118&amp;""", ""bookName"": """&amp;A118&amp;""", ""bookSubtitle"": """&amp;B118&amp;""", ""bookOsisID"": """&amp;C118&amp;""", ""paratext"": "&amp;IF(D118="","null",""""&amp;D118&amp;"""")&amp;", ""groups"": "&amp;E118&amp;", ""aliases"": "&amp;F118&amp;", ""chapterLabel"": """&amp;K118&amp;""", ""verseLabel"": """&amp;L118&amp;""", ""authors"": "&amp;H118&amp;", ""dateEarliest"": """&amp;I118&amp;""", ""dateLatest"": """&amp;J118&amp;""", ""hasData"": "&amp;M118&amp;" },"</f>
        <v>{ "workOsisID": "", "bookName": "Joseph and Asenath", "bookSubtitle": "", "bookOsisID": "JosAsen", "paratext": null, "groups": ["Armenian Orthodox Canon", "Apocrypha"], "aliases": [], "chapterLabel": "Chapter", "verseLabel": "Verse", "authors": [], "dateEarliest": "", "dateLatest": "", "hasData": false },</v>
      </c>
    </row>
    <row r="119" spans="1:14" x14ac:dyDescent="0.2">
      <c r="A119" t="s">
        <v>311</v>
      </c>
      <c r="C119" t="s">
        <v>310</v>
      </c>
      <c r="E119" t="s">
        <v>464</v>
      </c>
      <c r="F119" t="s">
        <v>1094</v>
      </c>
      <c r="G119" t="s">
        <v>310</v>
      </c>
      <c r="H119" s="8" t="s">
        <v>1094</v>
      </c>
      <c r="I119"/>
      <c r="J119"/>
      <c r="K119" t="s">
        <v>481</v>
      </c>
      <c r="L119" t="s">
        <v>485</v>
      </c>
      <c r="M119" t="str">
        <f t="shared" si="4"/>
        <v>false</v>
      </c>
      <c r="N119" s="4" t="str">
        <f>"{ ""workOsisID"": """&amp;G119&amp;""", ""bookName"": """&amp;A119&amp;""", ""bookSubtitle"": """&amp;B119&amp;""", ""bookOsisID"": """&amp;C119&amp;""", ""paratext"": "&amp;IF(D119="","null",""""&amp;D119&amp;"""")&amp;", ""groups"": "&amp;E119&amp;", ""aliases"": "&amp;F119&amp;", ""chapterLabel"": """&amp;K119&amp;""", ""verseLabel"": """&amp;L119&amp;""", ""authors"": "&amp;H119&amp;", ""dateEarliest"": """&amp;I119&amp;""", ""dateLatest"": """&amp;J119&amp;""", ""hasData"": "&amp;M119&amp;" },"</f>
        <v>{ "workOsisID": "T12Patr", "bookName": "Testaments of the Twelve Patriarchs (composed of:)", "bookSubtitle": "", "bookOsisID": "T12Patr", "paratext": null, "groups": ["Armenian Orthodox Canon", "Apocrypha"], "aliases": [], "chapterLabel": "Chapter", "verseLabel": "Verse", "authors": [], "dateEarliest": "", "dateLatest": "", "hasData": false },</v>
      </c>
    </row>
    <row r="120" spans="1:14" x14ac:dyDescent="0.2">
      <c r="A120" t="s">
        <v>312</v>
      </c>
      <c r="C120" t="s">
        <v>542</v>
      </c>
      <c r="E120" t="s">
        <v>464</v>
      </c>
      <c r="F120" t="s">
        <v>1094</v>
      </c>
      <c r="G120" t="s">
        <v>310</v>
      </c>
      <c r="H120" t="s">
        <v>1105</v>
      </c>
      <c r="I120"/>
      <c r="J120"/>
      <c r="K120" t="s">
        <v>481</v>
      </c>
      <c r="L120" t="s">
        <v>485</v>
      </c>
      <c r="M120" t="str">
        <f t="shared" si="4"/>
        <v>false</v>
      </c>
      <c r="N120" s="4" t="str">
        <f>"{ ""workOsisID"": """&amp;G120&amp;""", ""bookName"": """&amp;A120&amp;""", ""bookSubtitle"": """&amp;B120&amp;""", ""bookOsisID"": """&amp;C120&amp;""", ""paratext"": "&amp;IF(D120="","null",""""&amp;D120&amp;"""")&amp;", ""groups"": "&amp;E120&amp;", ""aliases"": "&amp;F120&amp;", ""chapterLabel"": """&amp;K120&amp;""", ""verseLabel"": """&amp;L120&amp;""", ""authors"": "&amp;H120&amp;", ""dateEarliest"": """&amp;I120&amp;""", ""dateLatest"": """&amp;J120&amp;""", ""hasData"": "&amp;M120&amp;" },"</f>
        <v>{ "workOsisID": "T12Patr", "bookName": "Testament of Asher", "bookSubtitle": "", "bookOsisID": "TAsh", "paratext": null, "groups": ["Armenian Orthodox Canon", "Apocrypha"], "aliases": [], "chapterLabel": "Chapter", "verseLabel": "Verse", "authors": ["Asher"], "dateEarliest": "", "dateLatest": "", "hasData": false },</v>
      </c>
    </row>
    <row r="121" spans="1:14" x14ac:dyDescent="0.2">
      <c r="A121" t="s">
        <v>313</v>
      </c>
      <c r="C121" t="s">
        <v>543</v>
      </c>
      <c r="E121" t="s">
        <v>464</v>
      </c>
      <c r="F121" t="s">
        <v>1094</v>
      </c>
      <c r="G121" t="s">
        <v>310</v>
      </c>
      <c r="H121" t="s">
        <v>1106</v>
      </c>
      <c r="I121"/>
      <c r="J121"/>
      <c r="K121" t="s">
        <v>481</v>
      </c>
      <c r="L121" t="s">
        <v>485</v>
      </c>
      <c r="M121" t="str">
        <f t="shared" si="4"/>
        <v>false</v>
      </c>
      <c r="N121" s="4" t="str">
        <f>"{ ""workOsisID"": """&amp;G121&amp;""", ""bookName"": """&amp;A121&amp;""", ""bookSubtitle"": """&amp;B121&amp;""", ""bookOsisID"": """&amp;C121&amp;""", ""paratext"": "&amp;IF(D121="","null",""""&amp;D121&amp;"""")&amp;", ""groups"": "&amp;E121&amp;", ""aliases"": "&amp;F121&amp;", ""chapterLabel"": """&amp;K121&amp;""", ""verseLabel"": """&amp;L121&amp;""", ""authors"": "&amp;H121&amp;", ""dateEarliest"": """&amp;I121&amp;""", ""dateLatest"": """&amp;J121&amp;""", ""hasData"": "&amp;M121&amp;" },"</f>
        <v>{ "workOsisID": "T12Patr", "bookName": "Testament of Benjamin", "bookSubtitle": "", "bookOsisID": "TBenj", "paratext": null, "groups": ["Armenian Orthodox Canon", "Apocrypha"], "aliases": [], "chapterLabel": "Chapter", "verseLabel": "Verse", "authors": ["Benjamin"], "dateEarliest": "", "dateLatest": "", "hasData": false },</v>
      </c>
    </row>
    <row r="122" spans="1:14" x14ac:dyDescent="0.2">
      <c r="A122" t="s">
        <v>314</v>
      </c>
      <c r="C122" t="s">
        <v>544</v>
      </c>
      <c r="E122" t="s">
        <v>464</v>
      </c>
      <c r="F122" t="s">
        <v>1094</v>
      </c>
      <c r="G122" t="s">
        <v>310</v>
      </c>
      <c r="H122" t="s">
        <v>1107</v>
      </c>
      <c r="I122"/>
      <c r="J122"/>
      <c r="K122" t="s">
        <v>481</v>
      </c>
      <c r="L122" t="s">
        <v>485</v>
      </c>
      <c r="M122" t="str">
        <f t="shared" si="4"/>
        <v>false</v>
      </c>
      <c r="N122" s="4" t="str">
        <f>"{ ""workOsisID"": """&amp;G122&amp;""", ""bookName"": """&amp;A122&amp;""", ""bookSubtitle"": """&amp;B122&amp;""", ""bookOsisID"": """&amp;C122&amp;""", ""paratext"": "&amp;IF(D122="","null",""""&amp;D122&amp;"""")&amp;", ""groups"": "&amp;E122&amp;", ""aliases"": "&amp;F122&amp;", ""chapterLabel"": """&amp;K122&amp;""", ""verseLabel"": """&amp;L122&amp;""", ""authors"": "&amp;H122&amp;", ""dateEarliest"": """&amp;I122&amp;""", ""dateLatest"": """&amp;J122&amp;""", ""hasData"": "&amp;M122&amp;" },"</f>
        <v>{ "workOsisID": "T12Patr", "bookName": "Testament of Dan", "bookSubtitle": "", "bookOsisID": "TDan", "paratext": null, "groups": ["Armenian Orthodox Canon", "Apocrypha"], "aliases": [], "chapterLabel": "Chapter", "verseLabel": "Verse", "authors": ["Dan"], "dateEarliest": "", "dateLatest": "", "hasData": false },</v>
      </c>
    </row>
    <row r="123" spans="1:14" x14ac:dyDescent="0.2">
      <c r="A123" t="s">
        <v>315</v>
      </c>
      <c r="C123" t="s">
        <v>545</v>
      </c>
      <c r="E123" t="s">
        <v>464</v>
      </c>
      <c r="F123" t="s">
        <v>1094</v>
      </c>
      <c r="G123" t="s">
        <v>310</v>
      </c>
      <c r="H123" t="s">
        <v>1108</v>
      </c>
      <c r="I123"/>
      <c r="J123"/>
      <c r="K123" t="s">
        <v>481</v>
      </c>
      <c r="L123" t="s">
        <v>485</v>
      </c>
      <c r="M123" t="str">
        <f t="shared" si="4"/>
        <v>false</v>
      </c>
      <c r="N123" s="4" t="str">
        <f>"{ ""workOsisID"": """&amp;G123&amp;""", ""bookName"": """&amp;A123&amp;""", ""bookSubtitle"": """&amp;B123&amp;""", ""bookOsisID"": """&amp;C123&amp;""", ""paratext"": "&amp;IF(D123="","null",""""&amp;D123&amp;"""")&amp;", ""groups"": "&amp;E123&amp;", ""aliases"": "&amp;F123&amp;", ""chapterLabel"": """&amp;K123&amp;""", ""verseLabel"": """&amp;L123&amp;""", ""authors"": "&amp;H123&amp;", ""dateEarliest"": """&amp;I123&amp;""", ""dateLatest"": """&amp;J123&amp;""", ""hasData"": "&amp;M123&amp;" },"</f>
        <v>{ "workOsisID": "T12Patr", "bookName": "Testament of Gad", "bookSubtitle": "", "bookOsisID": "TGad", "paratext": null, "groups": ["Armenian Orthodox Canon", "Apocrypha"], "aliases": [], "chapterLabel": "Chapter", "verseLabel": "Verse", "authors": ["Gad"], "dateEarliest": "", "dateLatest": "", "hasData": false },</v>
      </c>
    </row>
    <row r="124" spans="1:14" x14ac:dyDescent="0.2">
      <c r="A124" t="s">
        <v>316</v>
      </c>
      <c r="C124" t="s">
        <v>546</v>
      </c>
      <c r="E124" t="s">
        <v>464</v>
      </c>
      <c r="F124" t="s">
        <v>1094</v>
      </c>
      <c r="G124" t="s">
        <v>310</v>
      </c>
      <c r="H124" t="s">
        <v>1109</v>
      </c>
      <c r="I124"/>
      <c r="J124"/>
      <c r="K124" t="s">
        <v>481</v>
      </c>
      <c r="L124" t="s">
        <v>485</v>
      </c>
      <c r="M124" t="str">
        <f t="shared" si="4"/>
        <v>false</v>
      </c>
      <c r="N124" s="4" t="str">
        <f>"{ ""workOsisID"": """&amp;G124&amp;""", ""bookName"": """&amp;A124&amp;""", ""bookSubtitle"": """&amp;B124&amp;""", ""bookOsisID"": """&amp;C124&amp;""", ""paratext"": "&amp;IF(D124="","null",""""&amp;D124&amp;"""")&amp;", ""groups"": "&amp;E124&amp;", ""aliases"": "&amp;F124&amp;", ""chapterLabel"": """&amp;K124&amp;""", ""verseLabel"": """&amp;L124&amp;""", ""authors"": "&amp;H124&amp;", ""dateEarliest"": """&amp;I124&amp;""", ""dateLatest"": """&amp;J124&amp;""", ""hasData"": "&amp;M124&amp;" },"</f>
        <v>{ "workOsisID": "T12Patr", "bookName": "Testament of Issachar", "bookSubtitle": "", "bookOsisID": "TIss", "paratext": null, "groups": ["Armenian Orthodox Canon", "Apocrypha"], "aliases": [], "chapterLabel": "Chapter", "verseLabel": "Verse", "authors": ["Issachar"], "dateEarliest": "", "dateLatest": "", "hasData": false },</v>
      </c>
    </row>
    <row r="125" spans="1:14" x14ac:dyDescent="0.2">
      <c r="A125" t="s">
        <v>317</v>
      </c>
      <c r="C125" t="s">
        <v>547</v>
      </c>
      <c r="E125" t="s">
        <v>464</v>
      </c>
      <c r="F125" t="s">
        <v>1094</v>
      </c>
      <c r="G125" t="s">
        <v>310</v>
      </c>
      <c r="H125" t="s">
        <v>1110</v>
      </c>
      <c r="I125"/>
      <c r="J125"/>
      <c r="K125" t="s">
        <v>481</v>
      </c>
      <c r="L125" t="s">
        <v>485</v>
      </c>
      <c r="M125" t="str">
        <f t="shared" si="4"/>
        <v>false</v>
      </c>
      <c r="N125" s="4" t="str">
        <f>"{ ""workOsisID"": """&amp;G125&amp;""", ""bookName"": """&amp;A125&amp;""", ""bookSubtitle"": """&amp;B125&amp;""", ""bookOsisID"": """&amp;C125&amp;""", ""paratext"": "&amp;IF(D125="","null",""""&amp;D125&amp;"""")&amp;", ""groups"": "&amp;E125&amp;", ""aliases"": "&amp;F125&amp;", ""chapterLabel"": """&amp;K125&amp;""", ""verseLabel"": """&amp;L125&amp;""", ""authors"": "&amp;H125&amp;", ""dateEarliest"": """&amp;I125&amp;""", ""dateLatest"": """&amp;J125&amp;""", ""hasData"": "&amp;M125&amp;" },"</f>
        <v>{ "workOsisID": "T12Patr", "bookName": "Testament of Joseph", "bookSubtitle": "", "bookOsisID": "TJos", "paratext": null, "groups": ["Armenian Orthodox Canon", "Apocrypha"], "aliases": [], "chapterLabel": "Chapter", "verseLabel": "Verse", "authors": ["Joseph"], "dateEarliest": "", "dateLatest": "", "hasData": false },</v>
      </c>
    </row>
    <row r="126" spans="1:14" x14ac:dyDescent="0.2">
      <c r="A126" t="s">
        <v>318</v>
      </c>
      <c r="C126" t="s">
        <v>548</v>
      </c>
      <c r="E126" t="s">
        <v>464</v>
      </c>
      <c r="F126" t="s">
        <v>1094</v>
      </c>
      <c r="G126" t="s">
        <v>310</v>
      </c>
      <c r="H126" t="s">
        <v>1111</v>
      </c>
      <c r="I126"/>
      <c r="J126"/>
      <c r="K126" t="s">
        <v>481</v>
      </c>
      <c r="L126" t="s">
        <v>485</v>
      </c>
      <c r="M126" t="str">
        <f t="shared" si="4"/>
        <v>false</v>
      </c>
      <c r="N126" s="4" t="str">
        <f>"{ ""workOsisID"": """&amp;G126&amp;""", ""bookName"": """&amp;A126&amp;""", ""bookSubtitle"": """&amp;B126&amp;""", ""bookOsisID"": """&amp;C126&amp;""", ""paratext"": "&amp;IF(D126="","null",""""&amp;D126&amp;"""")&amp;", ""groups"": "&amp;E126&amp;", ""aliases"": "&amp;F126&amp;", ""chapterLabel"": """&amp;K126&amp;""", ""verseLabel"": """&amp;L126&amp;""", ""authors"": "&amp;H126&amp;", ""dateEarliest"": """&amp;I126&amp;""", ""dateLatest"": """&amp;J126&amp;""", ""hasData"": "&amp;M126&amp;" },"</f>
        <v>{ "workOsisID": "T12Patr", "bookName": "Testament of Judah", "bookSubtitle": "", "bookOsisID": "TJud", "paratext": null, "groups": ["Armenian Orthodox Canon", "Apocrypha"], "aliases": [], "chapterLabel": "Chapter", "verseLabel": "Verse", "authors": ["Judah"], "dateEarliest": "", "dateLatest": "", "hasData": false },</v>
      </c>
    </row>
    <row r="127" spans="1:14" x14ac:dyDescent="0.2">
      <c r="A127" t="s">
        <v>319</v>
      </c>
      <c r="C127" t="s">
        <v>549</v>
      </c>
      <c r="E127" t="s">
        <v>464</v>
      </c>
      <c r="F127" t="s">
        <v>1094</v>
      </c>
      <c r="G127" t="s">
        <v>310</v>
      </c>
      <c r="H127" t="s">
        <v>1112</v>
      </c>
      <c r="I127"/>
      <c r="J127"/>
      <c r="K127" t="s">
        <v>481</v>
      </c>
      <c r="L127" t="s">
        <v>485</v>
      </c>
      <c r="M127" t="str">
        <f t="shared" si="4"/>
        <v>false</v>
      </c>
      <c r="N127" s="4" t="str">
        <f>"{ ""workOsisID"": """&amp;G127&amp;""", ""bookName"": """&amp;A127&amp;""", ""bookSubtitle"": """&amp;B127&amp;""", ""bookOsisID"": """&amp;C127&amp;""", ""paratext"": "&amp;IF(D127="","null",""""&amp;D127&amp;"""")&amp;", ""groups"": "&amp;E127&amp;", ""aliases"": "&amp;F127&amp;", ""chapterLabel"": """&amp;K127&amp;""", ""verseLabel"": """&amp;L127&amp;""", ""authors"": "&amp;H127&amp;", ""dateEarliest"": """&amp;I127&amp;""", ""dateLatest"": """&amp;J127&amp;""", ""hasData"": "&amp;M127&amp;" },"</f>
        <v>{ "workOsisID": "T12Patr", "bookName": "Testament of Levi", "bookSubtitle": "", "bookOsisID": "TLevi", "paratext": null, "groups": ["Armenian Orthodox Canon", "Apocrypha"], "aliases": [], "chapterLabel": "Chapter", "verseLabel": "Verse", "authors": ["Levi"], "dateEarliest": "", "dateLatest": "", "hasData": false },</v>
      </c>
    </row>
    <row r="128" spans="1:14" x14ac:dyDescent="0.2">
      <c r="A128" t="s">
        <v>320</v>
      </c>
      <c r="C128" t="s">
        <v>550</v>
      </c>
      <c r="E128" t="s">
        <v>464</v>
      </c>
      <c r="F128" t="s">
        <v>1094</v>
      </c>
      <c r="G128" t="s">
        <v>310</v>
      </c>
      <c r="H128" t="s">
        <v>1113</v>
      </c>
      <c r="I128"/>
      <c r="J128"/>
      <c r="K128" t="s">
        <v>481</v>
      </c>
      <c r="L128" t="s">
        <v>485</v>
      </c>
      <c r="M128" t="str">
        <f t="shared" si="4"/>
        <v>false</v>
      </c>
      <c r="N128" s="4" t="str">
        <f>"{ ""workOsisID"": """&amp;G128&amp;""", ""bookName"": """&amp;A128&amp;""", ""bookSubtitle"": """&amp;B128&amp;""", ""bookOsisID"": """&amp;C128&amp;""", ""paratext"": "&amp;IF(D128="","null",""""&amp;D128&amp;"""")&amp;", ""groups"": "&amp;E128&amp;", ""aliases"": "&amp;F128&amp;", ""chapterLabel"": """&amp;K128&amp;""", ""verseLabel"": """&amp;L128&amp;""", ""authors"": "&amp;H128&amp;", ""dateEarliest"": """&amp;I128&amp;""", ""dateLatest"": """&amp;J128&amp;""", ""hasData"": "&amp;M128&amp;" },"</f>
        <v>{ "workOsisID": "T12Patr", "bookName": "Testament of Naphtali", "bookSubtitle": "", "bookOsisID": "TNaph", "paratext": null, "groups": ["Armenian Orthodox Canon", "Apocrypha"], "aliases": [], "chapterLabel": "Chapter", "verseLabel": "Verse", "authors": ["Naphtali"], "dateEarliest": "", "dateLatest": "", "hasData": false },</v>
      </c>
    </row>
    <row r="129" spans="1:14" x14ac:dyDescent="0.2">
      <c r="A129" t="s">
        <v>321</v>
      </c>
      <c r="C129" t="s">
        <v>551</v>
      </c>
      <c r="E129" t="s">
        <v>464</v>
      </c>
      <c r="F129" t="s">
        <v>1094</v>
      </c>
      <c r="G129" t="s">
        <v>310</v>
      </c>
      <c r="H129" t="s">
        <v>1114</v>
      </c>
      <c r="I129"/>
      <c r="J129"/>
      <c r="K129" t="s">
        <v>481</v>
      </c>
      <c r="L129" t="s">
        <v>485</v>
      </c>
      <c r="M129" t="str">
        <f t="shared" si="4"/>
        <v>false</v>
      </c>
      <c r="N129" s="4" t="str">
        <f>"{ ""workOsisID"": """&amp;G129&amp;""", ""bookName"": """&amp;A129&amp;""", ""bookSubtitle"": """&amp;B129&amp;""", ""bookOsisID"": """&amp;C129&amp;""", ""paratext"": "&amp;IF(D129="","null",""""&amp;D129&amp;"""")&amp;", ""groups"": "&amp;E129&amp;", ""aliases"": "&amp;F129&amp;", ""chapterLabel"": """&amp;K129&amp;""", ""verseLabel"": """&amp;L129&amp;""", ""authors"": "&amp;H129&amp;", ""dateEarliest"": """&amp;I129&amp;""", ""dateLatest"": """&amp;J129&amp;""", ""hasData"": "&amp;M129&amp;" },"</f>
        <v>{ "workOsisID": "T12Patr", "bookName": "Testament of Reuben", "bookSubtitle": "", "bookOsisID": "TReu", "paratext": null, "groups": ["Armenian Orthodox Canon", "Apocrypha"], "aliases": [], "chapterLabel": "Chapter", "verseLabel": "Verse", "authors": ["Reuben"], "dateEarliest": "", "dateLatest": "", "hasData": false },</v>
      </c>
    </row>
    <row r="130" spans="1:14" x14ac:dyDescent="0.2">
      <c r="A130" t="s">
        <v>322</v>
      </c>
      <c r="C130" t="s">
        <v>552</v>
      </c>
      <c r="E130" t="s">
        <v>464</v>
      </c>
      <c r="F130" t="s">
        <v>1094</v>
      </c>
      <c r="G130" t="s">
        <v>310</v>
      </c>
      <c r="H130" t="s">
        <v>1115</v>
      </c>
      <c r="I130"/>
      <c r="J130"/>
      <c r="K130" t="s">
        <v>481</v>
      </c>
      <c r="L130" t="s">
        <v>485</v>
      </c>
      <c r="M130" t="str">
        <f t="shared" si="4"/>
        <v>false</v>
      </c>
      <c r="N130" s="4" t="str">
        <f>"{ ""workOsisID"": """&amp;G130&amp;""", ""bookName"": """&amp;A130&amp;""", ""bookSubtitle"": """&amp;B130&amp;""", ""bookOsisID"": """&amp;C130&amp;""", ""paratext"": "&amp;IF(D130="","null",""""&amp;D130&amp;"""")&amp;", ""groups"": "&amp;E130&amp;", ""aliases"": "&amp;F130&amp;", ""chapterLabel"": """&amp;K130&amp;""", ""verseLabel"": """&amp;L130&amp;""", ""authors"": "&amp;H130&amp;", ""dateEarliest"": """&amp;I130&amp;""", ""dateLatest"": """&amp;J130&amp;""", ""hasData"": "&amp;M130&amp;" },"</f>
        <v>{ "workOsisID": "T12Patr", "bookName": "Testament of Simeon", "bookSubtitle": "", "bookOsisID": "TSim", "paratext": null, "groups": ["Armenian Orthodox Canon", "Apocrypha"], "aliases": [], "chapterLabel": "Chapter", "verseLabel": "Verse", "authors": ["Simeon"], "dateEarliest": "", "dateLatest": "", "hasData": false },</v>
      </c>
    </row>
    <row r="131" spans="1:14" x14ac:dyDescent="0.2">
      <c r="A131" t="s">
        <v>323</v>
      </c>
      <c r="C131" t="s">
        <v>553</v>
      </c>
      <c r="E131" t="s">
        <v>464</v>
      </c>
      <c r="F131" t="s">
        <v>1094</v>
      </c>
      <c r="G131" t="s">
        <v>310</v>
      </c>
      <c r="H131" t="s">
        <v>1116</v>
      </c>
      <c r="I131"/>
      <c r="J131"/>
      <c r="K131" t="s">
        <v>481</v>
      </c>
      <c r="L131" t="s">
        <v>485</v>
      </c>
      <c r="M131" t="str">
        <f t="shared" si="4"/>
        <v>false</v>
      </c>
      <c r="N131" s="4" t="str">
        <f>"{ ""workOsisID"": """&amp;G131&amp;""", ""bookName"": """&amp;A131&amp;""", ""bookSubtitle"": """&amp;B131&amp;""", ""bookOsisID"": """&amp;C131&amp;""", ""paratext"": "&amp;IF(D131="","null",""""&amp;D131&amp;"""")&amp;", ""groups"": "&amp;E131&amp;", ""aliases"": "&amp;F131&amp;", ""chapterLabel"": """&amp;K131&amp;""", ""verseLabel"": """&amp;L131&amp;""", ""authors"": "&amp;H131&amp;", ""dateEarliest"": """&amp;I131&amp;""", ""dateLatest"": """&amp;J131&amp;""", ""hasData"": "&amp;M131&amp;" },"</f>
        <v>{ "workOsisID": "T12Patr", "bookName": "Testament of Zebulun", "bookSubtitle": "", "bookOsisID": "TZeb", "paratext": null, "groups": ["Armenian Orthodox Canon", "Apocrypha"], "aliases": [], "chapterLabel": "Chapter", "verseLabel": "Verse", "authors": ["Zebulun"], "dateEarliest": "", "dateLatest": "", "hasData": false },</v>
      </c>
    </row>
    <row r="132" spans="1:14" x14ac:dyDescent="0.2">
      <c r="A132" t="s">
        <v>325</v>
      </c>
      <c r="C132" t="s">
        <v>324</v>
      </c>
      <c r="D132" t="s">
        <v>326</v>
      </c>
      <c r="E132" t="s">
        <v>465</v>
      </c>
      <c r="F132" t="s">
        <v>444</v>
      </c>
      <c r="G132"/>
      <c r="H132" t="s">
        <v>1117</v>
      </c>
      <c r="I132"/>
      <c r="J132"/>
      <c r="K132" t="s">
        <v>481</v>
      </c>
      <c r="L132" t="s">
        <v>485</v>
      </c>
      <c r="M132" t="str">
        <f t="shared" si="4"/>
        <v>false</v>
      </c>
      <c r="N132" s="4" t="str">
        <f>"{ ""workOsisID"": """&amp;G132&amp;""", ""bookName"": """&amp;A132&amp;""", ""bookSubtitle"": """&amp;B132&amp;""", ""bookOsisID"": """&amp;C132&amp;""", ""paratext"": "&amp;IF(D132="","null",""""&amp;D132&amp;"""")&amp;", ""groups"": "&amp;E132&amp;", ""aliases"": "&amp;F132&amp;", ""chapterLabel"": """&amp;K132&amp;""", ""verseLabel"": """&amp;L132&amp;""", ""authors"": "&amp;H132&amp;", ""dateEarliest"": """&amp;I132&amp;""", ""dateLatest"": """&amp;J132&amp;""", ""hasData"": "&amp;M132&amp;" },"</f>
        <v>{ "workOsisID": "", "bookName": "2 Baruch", "bookSubtitle": "", "bookOsisID": "2Bar", "paratext": "2BA", "groups": ["Syriac Orthodox Canon", "Apocrypha"], "aliases": ["(Syriac) Apocalypse of Baruch"], "chapterLabel": "Chapter", "verseLabel": "Verse", "authors": ["Baruch"], "dateEarliest": "", "dateLatest": "", "hasData": false },</v>
      </c>
    </row>
    <row r="133" spans="1:14" x14ac:dyDescent="0.2">
      <c r="A133" t="s">
        <v>401</v>
      </c>
      <c r="C133" t="s">
        <v>327</v>
      </c>
      <c r="D133" t="s">
        <v>328</v>
      </c>
      <c r="E133" t="s">
        <v>465</v>
      </c>
      <c r="F133" t="s">
        <v>1094</v>
      </c>
      <c r="G133" s="8" t="s">
        <v>490</v>
      </c>
      <c r="H133" t="s">
        <v>1117</v>
      </c>
      <c r="K133" t="s">
        <v>481</v>
      </c>
      <c r="L133" t="s">
        <v>485</v>
      </c>
      <c r="M133" t="str">
        <f t="shared" si="4"/>
        <v>false</v>
      </c>
      <c r="N133" s="4" t="str">
        <f>"{ ""workOsisID"": """&amp;G133&amp;""", ""bookName"": """&amp;A133&amp;""", ""bookSubtitle"": """&amp;B133&amp;""", ""bookOsisID"": """&amp;C133&amp;""", ""paratext"": "&amp;IF(D133="","null",""""&amp;D133&amp;"""")&amp;", ""groups"": "&amp;E133&amp;", ""aliases"": "&amp;F133&amp;", ""chapterLabel"": """&amp;K133&amp;""", ""verseLabel"": """&amp;L133&amp;""", ""authors"": "&amp;H133&amp;", ""dateEarliest"": """&amp;I133&amp;""", ""dateLatest"": """&amp;J133&amp;""", ""hasData"": "&amp;M133&amp;" },"</f>
        <v>{ "workOsisID": "KJVA", "bookName": "Letter of Baruch", "bookSubtitle": "", "bookOsisID": "EpBar", "paratext": "LBA", "groups": ["Syriac Orthodox Canon", "Apocrypha"], "aliases": [], "chapterLabel": "Chapter", "verseLabel": "Verse", "authors": ["Baruch"], "dateEarliest": "", "dateLatest": "", "hasData": false },</v>
      </c>
    </row>
    <row r="134" spans="1:14" x14ac:dyDescent="0.2">
      <c r="A134" t="s">
        <v>330</v>
      </c>
      <c r="C134" t="s">
        <v>329</v>
      </c>
      <c r="D134" t="s">
        <v>331</v>
      </c>
      <c r="E134" t="s">
        <v>465</v>
      </c>
      <c r="F134" t="s">
        <v>443</v>
      </c>
      <c r="H134" s="8" t="s">
        <v>1094</v>
      </c>
      <c r="K134" t="s">
        <v>481</v>
      </c>
      <c r="L134" t="s">
        <v>485</v>
      </c>
      <c r="M134" t="str">
        <f t="shared" si="4"/>
        <v>false</v>
      </c>
      <c r="N134" s="4" t="str">
        <f>"{ ""workOsisID"": """&amp;G134&amp;""", ""bookName"": """&amp;A134&amp;""", ""bookSubtitle"": """&amp;B134&amp;""", ""bookOsisID"": """&amp;C134&amp;""", ""paratext"": "&amp;IF(D134="","null",""""&amp;D134&amp;"""")&amp;", ""groups"": "&amp;E134&amp;", ""aliases"": "&amp;F134&amp;", ""chapterLabel"": """&amp;K134&amp;""", ""verseLabel"": """&amp;L134&amp;""", ""authors"": "&amp;H134&amp;", ""dateEarliest"": """&amp;I134&amp;""", ""dateLatest"": """&amp;J134&amp;""", ""hasData"": "&amp;M134&amp;" },"</f>
        <v>{ "workOsisID": "", "bookName": "Additional Syriac Psalms", "bookSubtitle": "", "bookOsisID": "5ApocSyrPss", "paratext": "PS3", "groups": ["Syriac Orthodox Canon", "Apocrypha"], "aliases": ["5 Apocryphal Syriac Psalms"], "chapterLabel": "Chapter", "verseLabel": "Verse", "authors": [], "dateEarliest": "", "dateLatest": "", "hasData": false },</v>
      </c>
    </row>
    <row r="135" spans="1:14" x14ac:dyDescent="0.2">
      <c r="A135" t="s">
        <v>402</v>
      </c>
      <c r="C135" t="s">
        <v>332</v>
      </c>
      <c r="E135" t="s">
        <v>465</v>
      </c>
      <c r="F135" t="s">
        <v>1094</v>
      </c>
      <c r="H135" s="8" t="s">
        <v>1118</v>
      </c>
      <c r="K135" t="s">
        <v>481</v>
      </c>
      <c r="L135" t="s">
        <v>485</v>
      </c>
      <c r="M135" t="str">
        <f t="shared" ref="M135:M159" si="9">"false"</f>
        <v>false</v>
      </c>
      <c r="N135" s="4" t="str">
        <f>"{ ""workOsisID"": """&amp;G135&amp;""", ""bookName"": """&amp;A135&amp;""", ""bookSubtitle"": """&amp;B135&amp;""", ""bookOsisID"": """&amp;C135&amp;""", ""paratext"": "&amp;IF(D135="","null",""""&amp;D135&amp;"""")&amp;", ""groups"": "&amp;E135&amp;", ""aliases"": "&amp;F135&amp;", ""chapterLabel"": """&amp;K135&amp;""", ""verseLabel"": """&amp;L135&amp;""", ""authors"": "&amp;H135&amp;", ""dateEarliest"": """&amp;I135&amp;""", ""dateLatest"": """&amp;J135&amp;""", ""hasData"": "&amp;M135&amp;" },"</f>
        <v>{ "workOsisID": "", "bookName": "Josephus' Jewish War VI", "bookSubtitle": "", "bookOsisID": "JosephusJWvi", "paratext": null, "groups": ["Syriac Orthodox Canon", "Apocrypha"], "aliases": [], "chapterLabel": "Chapter", "verseLabel": "Verse", "authors": ["Josephus"], "dateEarliest": "", "dateLatest": "", "hasData": false },</v>
      </c>
    </row>
    <row r="136" spans="1:14" x14ac:dyDescent="0.2">
      <c r="A136" t="s">
        <v>334</v>
      </c>
      <c r="B136" t="s">
        <v>535</v>
      </c>
      <c r="C136" t="s">
        <v>333</v>
      </c>
      <c r="D136" t="s">
        <v>335</v>
      </c>
      <c r="E136" t="s">
        <v>466</v>
      </c>
      <c r="F136" t="s">
        <v>1094</v>
      </c>
      <c r="H136" s="8" t="s">
        <v>1119</v>
      </c>
      <c r="K136" t="s">
        <v>481</v>
      </c>
      <c r="L136" t="s">
        <v>485</v>
      </c>
      <c r="M136" t="str">
        <f t="shared" si="9"/>
        <v>false</v>
      </c>
      <c r="N136" s="4" t="str">
        <f>"{ ""workOsisID"": """&amp;G136&amp;""", ""bookName"": """&amp;A136&amp;""", ""bookSubtitle"": """&amp;B136&amp;""", ""bookOsisID"": """&amp;C136&amp;""", ""paratext"": "&amp;IF(D136="","null",""""&amp;D136&amp;"""")&amp;", ""groups"": "&amp;E136&amp;", ""aliases"": "&amp;F136&amp;", ""chapterLabel"": """&amp;K136&amp;""", ""verseLabel"": """&amp;L136&amp;""", ""authors"": "&amp;H136&amp;", ""dateEarliest"": """&amp;I136&amp;""", ""dateLatest"": """&amp;J136&amp;""", ""hasData"": "&amp;M136&amp;" },"</f>
        <v>{ "workOsisID": "", "bookName": "1 Clement", "bookSubtitle": "The First Epistle of Clement: To the Church of God at Corinth", "bookOsisID": "1Clem", "paratext": "1CL", "groups": ["Apostolic Fathers", "Apocrypha"], "aliases": [], "chapterLabel": "Chapter", "verseLabel": "Verse", "authors": ["Clement"], "dateEarliest": "", "dateLatest": "", "hasData": false },</v>
      </c>
    </row>
    <row r="137" spans="1:14" x14ac:dyDescent="0.2">
      <c r="A137" t="s">
        <v>337</v>
      </c>
      <c r="B137" t="s">
        <v>536</v>
      </c>
      <c r="C137" t="s">
        <v>336</v>
      </c>
      <c r="D137" t="s">
        <v>338</v>
      </c>
      <c r="E137" t="s">
        <v>466</v>
      </c>
      <c r="F137" t="s">
        <v>1094</v>
      </c>
      <c r="H137" s="8" t="s">
        <v>1119</v>
      </c>
      <c r="K137" t="s">
        <v>481</v>
      </c>
      <c r="L137" t="s">
        <v>485</v>
      </c>
      <c r="M137" t="str">
        <f t="shared" si="9"/>
        <v>false</v>
      </c>
      <c r="N137" s="4" t="str">
        <f>"{ ""workOsisID"": """&amp;G137&amp;""", ""bookName"": """&amp;A137&amp;""", ""bookSubtitle"": """&amp;B137&amp;""", ""bookOsisID"": """&amp;C137&amp;""", ""paratext"": "&amp;IF(D137="","null",""""&amp;D137&amp;"""")&amp;", ""groups"": "&amp;E137&amp;", ""aliases"": "&amp;F137&amp;", ""chapterLabel"": """&amp;K137&amp;""", ""verseLabel"": """&amp;L137&amp;""", ""authors"": "&amp;H137&amp;", ""dateEarliest"": """&amp;I137&amp;""", ""dateLatest"": """&amp;J137&amp;""", ""hasData"": "&amp;M137&amp;" },"</f>
        <v>{ "workOsisID": "", "bookName": "2 Clement", "bookSubtitle": "The Second Epistle of Clement", "bookOsisID": "2Clem", "paratext": "2CL", "groups": ["Apostolic Fathers", "Apocrypha"], "aliases": [], "chapterLabel": "Chapter", "verseLabel": "Verse", "authors": ["Clement"], "dateEarliest": "", "dateLatest": "", "hasData": false },</v>
      </c>
    </row>
    <row r="138" spans="1:14" x14ac:dyDescent="0.2">
      <c r="A138" t="s">
        <v>340</v>
      </c>
      <c r="B138" t="s">
        <v>537</v>
      </c>
      <c r="C138" t="s">
        <v>339</v>
      </c>
      <c r="E138" t="s">
        <v>466</v>
      </c>
      <c r="F138" t="s">
        <v>1094</v>
      </c>
      <c r="H138" s="8" t="s">
        <v>1120</v>
      </c>
      <c r="K138" t="s">
        <v>481</v>
      </c>
      <c r="L138" t="s">
        <v>485</v>
      </c>
      <c r="M138" t="str">
        <f t="shared" si="9"/>
        <v>false</v>
      </c>
      <c r="N138" s="4" t="str">
        <f>"{ ""workOsisID"": """&amp;G138&amp;""", ""bookName"": """&amp;A138&amp;""", ""bookSubtitle"": """&amp;B138&amp;""", ""bookOsisID"": """&amp;C138&amp;""", ""paratext"": "&amp;IF(D138="","null",""""&amp;D138&amp;"""")&amp;", ""groups"": "&amp;E138&amp;", ""aliases"": "&amp;F138&amp;", ""chapterLabel"": """&amp;K138&amp;""", ""verseLabel"": """&amp;L138&amp;""", ""authors"": "&amp;H138&amp;", ""dateEarliest"": """&amp;I138&amp;""", ""dateLatest"": """&amp;J138&amp;""", ""hasData"": "&amp;M138&amp;" },"</f>
        <v>{ "workOsisID": "", "bookName": "Ignatius to the Ephesians", "bookSubtitle": "The Epistle of Ignatius to the Ephesians", "bookOsisID": "IgnEph", "paratext": null, "groups": ["Apostolic Fathers", "Apocrypha"], "aliases": [], "chapterLabel": "Chapter", "verseLabel": "Verse", "authors": ["Ignatius"], "dateEarliest": "", "dateLatest": "", "hasData": false },</v>
      </c>
    </row>
    <row r="139" spans="1:14" x14ac:dyDescent="0.2">
      <c r="A139" t="s">
        <v>342</v>
      </c>
      <c r="B139" t="s">
        <v>538</v>
      </c>
      <c r="C139" t="s">
        <v>341</v>
      </c>
      <c r="E139" t="s">
        <v>466</v>
      </c>
      <c r="F139" t="s">
        <v>1094</v>
      </c>
      <c r="H139" s="8" t="s">
        <v>1120</v>
      </c>
      <c r="K139" t="s">
        <v>481</v>
      </c>
      <c r="L139" t="s">
        <v>485</v>
      </c>
      <c r="M139" t="str">
        <f t="shared" si="9"/>
        <v>false</v>
      </c>
      <c r="N139" s="4" t="str">
        <f>"{ ""workOsisID"": """&amp;G139&amp;""", ""bookName"": """&amp;A139&amp;""", ""bookSubtitle"": """&amp;B139&amp;""", ""bookOsisID"": """&amp;C139&amp;""", ""paratext"": "&amp;IF(D139="","null",""""&amp;D139&amp;"""")&amp;", ""groups"": "&amp;E139&amp;", ""aliases"": "&amp;F139&amp;", ""chapterLabel"": """&amp;K139&amp;""", ""verseLabel"": """&amp;L139&amp;""", ""authors"": "&amp;H139&amp;", ""dateEarliest"": """&amp;I139&amp;""", ""dateLatest"": """&amp;J139&amp;""", ""hasData"": "&amp;M139&amp;" },"</f>
        <v>{ "workOsisID": "", "bookName": "Ignatius to the Magnesians", "bookSubtitle": "The Epistle of Ignatius to the Magnesians", "bookOsisID": "IgnMagn", "paratext": null, "groups": ["Apostolic Fathers", "Apocrypha"], "aliases": [], "chapterLabel": "Chapter", "verseLabel": "Verse", "authors": ["Ignatius"], "dateEarliest": "", "dateLatest": "", "hasData": false },</v>
      </c>
    </row>
    <row r="140" spans="1:14" x14ac:dyDescent="0.2">
      <c r="A140" t="s">
        <v>344</v>
      </c>
      <c r="B140" t="s">
        <v>539</v>
      </c>
      <c r="C140" t="s">
        <v>343</v>
      </c>
      <c r="E140" t="s">
        <v>466</v>
      </c>
      <c r="F140" t="s">
        <v>1094</v>
      </c>
      <c r="H140" s="8" t="s">
        <v>1120</v>
      </c>
      <c r="K140" t="s">
        <v>481</v>
      </c>
      <c r="L140" t="s">
        <v>485</v>
      </c>
      <c r="M140" t="str">
        <f t="shared" si="9"/>
        <v>false</v>
      </c>
      <c r="N140" s="4" t="str">
        <f>"{ ""workOsisID"": """&amp;G140&amp;""", ""bookName"": """&amp;A140&amp;""", ""bookSubtitle"": """&amp;B140&amp;""", ""bookOsisID"": """&amp;C140&amp;""", ""paratext"": "&amp;IF(D140="","null",""""&amp;D140&amp;"""")&amp;", ""groups"": "&amp;E140&amp;", ""aliases"": "&amp;F140&amp;", ""chapterLabel"": """&amp;K140&amp;""", ""verseLabel"": """&amp;L140&amp;""", ""authors"": "&amp;H140&amp;", ""dateEarliest"": """&amp;I140&amp;""", ""dateLatest"": """&amp;J140&amp;""", ""hasData"": "&amp;M140&amp;" },"</f>
        <v>{ "workOsisID": "", "bookName": "Ignatius to the Trallians", "bookSubtitle": "The Epistle of Ignatius to the Trallians", "bookOsisID": "IgnTrall", "paratext": null, "groups": ["Apostolic Fathers", "Apocrypha"], "aliases": [], "chapterLabel": "Chapter", "verseLabel": "Verse", "authors": ["Ignatius"], "dateEarliest": "", "dateLatest": "", "hasData": false },</v>
      </c>
    </row>
    <row r="141" spans="1:14" x14ac:dyDescent="0.2">
      <c r="A141" t="s">
        <v>346</v>
      </c>
      <c r="B141" t="s">
        <v>540</v>
      </c>
      <c r="C141" t="s">
        <v>345</v>
      </c>
      <c r="E141" t="s">
        <v>466</v>
      </c>
      <c r="F141" t="s">
        <v>1094</v>
      </c>
      <c r="H141" s="8" t="s">
        <v>1120</v>
      </c>
      <c r="K141" t="s">
        <v>481</v>
      </c>
      <c r="L141" t="s">
        <v>485</v>
      </c>
      <c r="M141" t="str">
        <f t="shared" si="9"/>
        <v>false</v>
      </c>
      <c r="N141" s="4" t="str">
        <f>"{ ""workOsisID"": """&amp;G141&amp;""", ""bookName"": """&amp;A141&amp;""", ""bookSubtitle"": """&amp;B141&amp;""", ""bookOsisID"": """&amp;C141&amp;""", ""paratext"": "&amp;IF(D141="","null",""""&amp;D141&amp;"""")&amp;", ""groups"": "&amp;E141&amp;", ""aliases"": "&amp;F141&amp;", ""chapterLabel"": """&amp;K141&amp;""", ""verseLabel"": """&amp;L141&amp;""", ""authors"": "&amp;H141&amp;", ""dateEarliest"": """&amp;I141&amp;""", ""dateLatest"": """&amp;J141&amp;""", ""hasData"": "&amp;M141&amp;" },"</f>
        <v>{ "workOsisID": "", "bookName": "Ignatius to the Romans", "bookSubtitle": "The Epistle of Ignatius to the Romans", "bookOsisID": "IgnRom", "paratext": null, "groups": ["Apostolic Fathers", "Apocrypha"], "aliases": [], "chapterLabel": "Chapter", "verseLabel": "Verse", "authors": ["Ignatius"], "dateEarliest": "", "dateLatest": "", "hasData": false },</v>
      </c>
    </row>
    <row r="142" spans="1:14" x14ac:dyDescent="0.2">
      <c r="A142" t="s">
        <v>348</v>
      </c>
      <c r="B142" t="s">
        <v>541</v>
      </c>
      <c r="C142" t="s">
        <v>347</v>
      </c>
      <c r="E142" t="s">
        <v>466</v>
      </c>
      <c r="F142" t="s">
        <v>1094</v>
      </c>
      <c r="H142" s="8" t="s">
        <v>1120</v>
      </c>
      <c r="K142" t="s">
        <v>481</v>
      </c>
      <c r="L142" t="s">
        <v>485</v>
      </c>
      <c r="M142" t="str">
        <f t="shared" si="9"/>
        <v>false</v>
      </c>
      <c r="N142" s="4" t="str">
        <f>"{ ""workOsisID"": """&amp;G142&amp;""", ""bookName"": """&amp;A142&amp;""", ""bookSubtitle"": """&amp;B142&amp;""", ""bookOsisID"": """&amp;C142&amp;""", ""paratext"": "&amp;IF(D142="","null",""""&amp;D142&amp;"""")&amp;", ""groups"": "&amp;E142&amp;", ""aliases"": "&amp;F142&amp;", ""chapterLabel"": """&amp;K142&amp;""", ""verseLabel"": """&amp;L142&amp;""", ""authors"": "&amp;H142&amp;", ""dateEarliest"": """&amp;I142&amp;""", ""dateLatest"": """&amp;J142&amp;""", ""hasData"": "&amp;M142&amp;" },"</f>
        <v>{ "workOsisID": "", "bookName": "Ignatius to the Philadelphians", "bookSubtitle": "The Epistle of Ignatius to the Philadelphians", "bookOsisID": "IgnPhld", "paratext": null, "groups": ["Apostolic Fathers", "Apocrypha"], "aliases": [], "chapterLabel": "Chapter", "verseLabel": "Verse", "authors": ["Ignatius"], "dateEarliest": "", "dateLatest": "", "hasData": false },</v>
      </c>
    </row>
    <row r="143" spans="1:14" x14ac:dyDescent="0.2">
      <c r="A143" t="s">
        <v>350</v>
      </c>
      <c r="B143" t="s">
        <v>554</v>
      </c>
      <c r="C143" t="s">
        <v>349</v>
      </c>
      <c r="E143" t="s">
        <v>466</v>
      </c>
      <c r="F143" t="s">
        <v>1094</v>
      </c>
      <c r="H143" s="8" t="s">
        <v>1120</v>
      </c>
      <c r="K143" t="s">
        <v>481</v>
      </c>
      <c r="L143" t="s">
        <v>485</v>
      </c>
      <c r="M143" t="str">
        <f t="shared" si="9"/>
        <v>false</v>
      </c>
      <c r="N143" s="4" t="str">
        <f>"{ ""workOsisID"": """&amp;G143&amp;""", ""bookName"": """&amp;A143&amp;""", ""bookSubtitle"": """&amp;B143&amp;""", ""bookOsisID"": """&amp;C143&amp;""", ""paratext"": "&amp;IF(D143="","null",""""&amp;D143&amp;"""")&amp;", ""groups"": "&amp;E143&amp;", ""aliases"": "&amp;F143&amp;", ""chapterLabel"": """&amp;K143&amp;""", ""verseLabel"": """&amp;L143&amp;""", ""authors"": "&amp;H143&amp;", ""dateEarliest"": """&amp;I143&amp;""", ""dateLatest"": """&amp;J143&amp;""", ""hasData"": "&amp;M143&amp;" },"</f>
        <v>{ "workOsisID": "", "bookName": "Ignatius to the Smyrnaeans", "bookSubtitle": "The Epistle of Ignatius to the Smyrnaeans", "bookOsisID": "IgnSmyrn", "paratext": null, "groups": ["Apostolic Fathers", "Apocrypha"], "aliases": [], "chapterLabel": "Chapter", "verseLabel": "Verse", "authors": ["Ignatius"], "dateEarliest": "", "dateLatest": "", "hasData": false },</v>
      </c>
    </row>
    <row r="144" spans="1:14" x14ac:dyDescent="0.2">
      <c r="A144" t="s">
        <v>352</v>
      </c>
      <c r="B144" t="s">
        <v>555</v>
      </c>
      <c r="C144" t="s">
        <v>351</v>
      </c>
      <c r="E144" t="s">
        <v>466</v>
      </c>
      <c r="F144" t="s">
        <v>1094</v>
      </c>
      <c r="H144" s="8" t="s">
        <v>1120</v>
      </c>
      <c r="K144" t="s">
        <v>481</v>
      </c>
      <c r="L144" t="s">
        <v>485</v>
      </c>
      <c r="M144" t="str">
        <f t="shared" si="9"/>
        <v>false</v>
      </c>
      <c r="N144" s="4" t="str">
        <f>"{ ""workOsisID"": """&amp;G144&amp;""", ""bookName"": """&amp;A144&amp;""", ""bookSubtitle"": """&amp;B144&amp;""", ""bookOsisID"": """&amp;C144&amp;""", ""paratext"": "&amp;IF(D144="","null",""""&amp;D144&amp;"""")&amp;", ""groups"": "&amp;E144&amp;", ""aliases"": "&amp;F144&amp;", ""chapterLabel"": """&amp;K144&amp;""", ""verseLabel"": """&amp;L144&amp;""", ""authors"": "&amp;H144&amp;", ""dateEarliest"": """&amp;I144&amp;""", ""dateLatest"": """&amp;J144&amp;""", ""hasData"": "&amp;M144&amp;" },"</f>
        <v>{ "workOsisID": "", "bookName": "Ignatius to Polycarp", "bookSubtitle": "The Epistle of Ignatius to Polycarp", "bookOsisID": "IgnPol", "paratext": null, "groups": ["Apostolic Fathers", "Apocrypha"], "aliases": [], "chapterLabel": "Chapter", "verseLabel": "Verse", "authors": ["Ignatius"], "dateEarliest": "", "dateLatest": "", "hasData": false },</v>
      </c>
    </row>
    <row r="145" spans="1:14" x14ac:dyDescent="0.2">
      <c r="A145" t="s">
        <v>354</v>
      </c>
      <c r="B145" t="s">
        <v>556</v>
      </c>
      <c r="C145" t="s">
        <v>353</v>
      </c>
      <c r="E145" t="s">
        <v>466</v>
      </c>
      <c r="F145" t="s">
        <v>1094</v>
      </c>
      <c r="H145" s="8" t="s">
        <v>1121</v>
      </c>
      <c r="K145" t="s">
        <v>481</v>
      </c>
      <c r="L145" t="s">
        <v>485</v>
      </c>
      <c r="M145" t="str">
        <f t="shared" si="9"/>
        <v>false</v>
      </c>
      <c r="N145" s="4" t="str">
        <f>"{ ""workOsisID"": """&amp;G145&amp;""", ""bookName"": """&amp;A145&amp;""", ""bookSubtitle"": """&amp;B145&amp;""", ""bookOsisID"": """&amp;C145&amp;""", ""paratext"": "&amp;IF(D145="","null",""""&amp;D145&amp;"""")&amp;", ""groups"": "&amp;E145&amp;", ""aliases"": "&amp;F145&amp;", ""chapterLabel"": """&amp;K145&amp;""", ""verseLabel"": """&amp;L145&amp;""", ""authors"": "&amp;H145&amp;", ""dateEarliest"": """&amp;I145&amp;""", ""dateLatest"": """&amp;J145&amp;""", ""hasData"": "&amp;M145&amp;" },"</f>
        <v>{ "workOsisID": "", "bookName": "Polycarp to the Philippians", "bookSubtitle": "The Epistle of Polycarp to the Philippians", "bookOsisID": "PolPhil", "paratext": null, "groups": ["Apostolic Fathers", "Apocrypha"], "aliases": [], "chapterLabel": "Chapter", "verseLabel": "Verse", "authors": ["Polycarp"], "dateEarliest": "", "dateLatest": "", "hasData": false },</v>
      </c>
    </row>
    <row r="146" spans="1:14" x14ac:dyDescent="0.2">
      <c r="A146" t="s">
        <v>356</v>
      </c>
      <c r="B146" t="s">
        <v>557</v>
      </c>
      <c r="C146" t="s">
        <v>355</v>
      </c>
      <c r="E146" t="s">
        <v>466</v>
      </c>
      <c r="F146" t="s">
        <v>1094</v>
      </c>
      <c r="H146" s="8" t="s">
        <v>1094</v>
      </c>
      <c r="K146" t="s">
        <v>481</v>
      </c>
      <c r="L146" t="s">
        <v>485</v>
      </c>
      <c r="M146" t="str">
        <f t="shared" si="9"/>
        <v>false</v>
      </c>
      <c r="N146" s="4" t="str">
        <f>"{ ""workOsisID"": """&amp;G146&amp;""", ""bookName"": """&amp;A146&amp;""", ""bookSubtitle"": """&amp;B146&amp;""", ""bookOsisID"": """&amp;C146&amp;""", ""paratext"": "&amp;IF(D146="","null",""""&amp;D146&amp;"""")&amp;", ""groups"": "&amp;E146&amp;", ""aliases"": "&amp;F146&amp;", ""chapterLabel"": """&amp;K146&amp;""", ""verseLabel"": """&amp;L146&amp;""", ""authors"": "&amp;H146&amp;", ""dateEarliest"": """&amp;I146&amp;""", ""dateLatest"": """&amp;J146&amp;""", ""hasData"": "&amp;M146&amp;" },"</f>
        <v>{ "workOsisID": "", "bookName": "Martyrdom of Polycarp", "bookSubtitle": "The Martyrdom of St. Polycarp", "bookOsisID": "MartPol", "paratext": null, "groups": ["Apostolic Fathers", "Apocrypha"], "aliases": [], "chapterLabel": "Chapter", "verseLabel": "Verse", "authors": [], "dateEarliest": "", "dateLatest": "", "hasData": false },</v>
      </c>
    </row>
    <row r="147" spans="1:14" s="4" customFormat="1" x14ac:dyDescent="0.2">
      <c r="A147" s="4" t="s">
        <v>358</v>
      </c>
      <c r="B147" s="4" t="s">
        <v>559</v>
      </c>
      <c r="C147" s="4" t="s">
        <v>357</v>
      </c>
      <c r="D147" s="4" t="s">
        <v>359</v>
      </c>
      <c r="E147" s="4" t="s">
        <v>466</v>
      </c>
      <c r="F147" s="4" t="s">
        <v>1094</v>
      </c>
      <c r="G147" s="7" t="s">
        <v>358</v>
      </c>
      <c r="H147" s="7" t="s">
        <v>1123</v>
      </c>
      <c r="I147" s="7"/>
      <c r="J147" s="7"/>
      <c r="K147" s="4" t="s">
        <v>481</v>
      </c>
      <c r="L147" s="4" t="s">
        <v>485</v>
      </c>
      <c r="M147" s="4" t="str">
        <f t="shared" ref="M147" si="10">"true"</f>
        <v>true</v>
      </c>
      <c r="N147" s="4" t="str">
        <f>"{ ""workOsisID"": """&amp;G147&amp;""", ""bookName"": """&amp;A147&amp;""", ""bookSubtitle"": """&amp;B147&amp;""", ""bookOsisID"": """&amp;C147&amp;""", ""paratext"": "&amp;IF(D147="","null",""""&amp;D147&amp;"""")&amp;", ""groups"": "&amp;E147&amp;", ""aliases"": "&amp;F147&amp;", ""chapterLabel"": """&amp;K147&amp;""", ""verseLabel"": """&amp;L147&amp;""", ""authors"": "&amp;H147&amp;", ""dateEarliest"": """&amp;I147&amp;""", ""dateLatest"": """&amp;J147&amp;""", ""hasData"": "&amp;M147&amp;" },"</f>
        <v>{ "workOsisID": "Didache", "bookName": "Didache", "bookSubtitle": "The Lord's Teaching Through the Twelve Apostles to the Nations", "bookOsisID": "Did", "paratext": "DID", "groups": ["Apostolic Fathers", "Apocrypha"], "aliases": [], "chapterLabel": "Chapter", "verseLabel": "Verse", "authors": ["Apostalic Fathers"], "dateEarliest": "", "dateLatest": "", "hasData": true },</v>
      </c>
    </row>
    <row r="148" spans="1:14" x14ac:dyDescent="0.2">
      <c r="A148" t="s">
        <v>361</v>
      </c>
      <c r="B148" t="s">
        <v>558</v>
      </c>
      <c r="C148" t="s">
        <v>360</v>
      </c>
      <c r="E148" t="s">
        <v>466</v>
      </c>
      <c r="F148" s="16" t="s">
        <v>1094</v>
      </c>
      <c r="H148" s="8" t="s">
        <v>1122</v>
      </c>
      <c r="K148" t="s">
        <v>481</v>
      </c>
      <c r="L148" t="s">
        <v>485</v>
      </c>
      <c r="M148" t="str">
        <f t="shared" si="9"/>
        <v>false</v>
      </c>
      <c r="N148" s="4" t="str">
        <f>"{ ""workOsisID"": """&amp;G148&amp;""", ""bookName"": """&amp;A148&amp;""", ""bookSubtitle"": """&amp;B148&amp;""", ""bookOsisID"": """&amp;C148&amp;""", ""paratext"": "&amp;IF(D148="","null",""""&amp;D148&amp;"""")&amp;", ""groups"": "&amp;E148&amp;", ""aliases"": "&amp;F148&amp;", ""chapterLabel"": """&amp;K148&amp;""", ""verseLabel"": """&amp;L148&amp;""", ""authors"": "&amp;H148&amp;", ""dateEarliest"": """&amp;I148&amp;""", ""dateLatest"": """&amp;J148&amp;""", ""hasData"": "&amp;M148&amp;" },"</f>
        <v>{ "workOsisID": "", "bookName": "Barnabas", "bookSubtitle": "The Epistle of Barnabas", "bookOsisID": "Barn", "paratext": null, "groups": ["Apostolic Fathers", "Apocrypha"], "aliases": [], "chapterLabel": "Chapter", "verseLabel": "Verse", "authors": ["Barnabas"], "dateEarliest": "", "dateLatest": "", "hasData": false },</v>
      </c>
    </row>
    <row r="149" spans="1:14" x14ac:dyDescent="0.2">
      <c r="A149" t="s">
        <v>412</v>
      </c>
      <c r="B149" t="s">
        <v>560</v>
      </c>
      <c r="C149" t="s">
        <v>362</v>
      </c>
      <c r="D149" t="s">
        <v>363</v>
      </c>
      <c r="E149" t="s">
        <v>466</v>
      </c>
      <c r="F149" s="16" t="s">
        <v>1094</v>
      </c>
      <c r="H149" s="8" t="s">
        <v>1094</v>
      </c>
      <c r="K149" t="s">
        <v>481</v>
      </c>
      <c r="L149" t="s">
        <v>485</v>
      </c>
      <c r="M149" t="str">
        <f t="shared" si="9"/>
        <v>false</v>
      </c>
      <c r="N149" s="4" t="str">
        <f>"{ ""workOsisID"": """&amp;G149&amp;""", ""bookName"": """&amp;A149&amp;""", ""bookSubtitle"": """&amp;B149&amp;""", ""bookOsisID"": """&amp;C149&amp;""", ""paratext"": "&amp;IF(D149="","null",""""&amp;D149&amp;"""")&amp;", ""groups"": "&amp;E149&amp;", ""aliases"": "&amp;F149&amp;", ""chapterLabel"": """&amp;K149&amp;""", ""verseLabel"": """&amp;L149&amp;""", ""authors"": "&amp;H149&amp;", ""dateEarliest"": """&amp;I149&amp;""", ""dateLatest"": """&amp;J149&amp;""", ""hasData"": "&amp;M149&amp;" },"</f>
        <v>{ "workOsisID": "", "bookName": "Shepherd of Hermas", "bookSubtitle": "The Shepherd of Hermas", "bookOsisID": "Herm", "paratext": "SHE", "groups": ["Apostolic Fathers", "Apocrypha"], "aliases": [], "chapterLabel": "Chapter", "verseLabel": "Verse", "authors": [], "dateEarliest": "", "dateLatest": "", "hasData": false },</v>
      </c>
    </row>
    <row r="150" spans="1:14" x14ac:dyDescent="0.2">
      <c r="A150" t="s">
        <v>365</v>
      </c>
      <c r="B150" t="s">
        <v>561</v>
      </c>
      <c r="C150" t="s">
        <v>364</v>
      </c>
      <c r="E150" t="s">
        <v>466</v>
      </c>
      <c r="F150" s="16" t="s">
        <v>1094</v>
      </c>
      <c r="H150" s="8" t="s">
        <v>1094</v>
      </c>
      <c r="K150" t="s">
        <v>481</v>
      </c>
      <c r="L150" t="s">
        <v>485</v>
      </c>
      <c r="M150" t="str">
        <f t="shared" si="9"/>
        <v>false</v>
      </c>
      <c r="N150" s="4" t="str">
        <f>"{ ""workOsisID"": """&amp;G150&amp;""", ""bookName"": """&amp;A150&amp;""", ""bookSubtitle"": """&amp;B150&amp;""", ""bookOsisID"": """&amp;C150&amp;""", ""paratext"": "&amp;IF(D150="","null",""""&amp;D150&amp;"""")&amp;", ""groups"": "&amp;E150&amp;", ""aliases"": "&amp;F150&amp;", ""chapterLabel"": """&amp;K150&amp;""", ""verseLabel"": """&amp;L150&amp;""", ""authors"": "&amp;H150&amp;", ""dateEarliest"": """&amp;I150&amp;""", ""dateLatest"": """&amp;J150&amp;""", ""hasData"": "&amp;M150&amp;" },"</f>
        <v>{ "workOsisID": "", "bookName": "Shepherd of Hermas, Mandates", "bookSubtitle": "The Shepherd of Hermas - 12 Commandments", "bookOsisID": "Herm.Mand", "paratext": null, "groups": ["Apostolic Fathers", "Apocrypha"], "aliases": [], "chapterLabel": "Chapter", "verseLabel": "Verse", "authors": [], "dateEarliest": "", "dateLatest": "", "hasData": false },</v>
      </c>
    </row>
    <row r="151" spans="1:14" x14ac:dyDescent="0.2">
      <c r="A151" t="s">
        <v>367</v>
      </c>
      <c r="B151" t="s">
        <v>562</v>
      </c>
      <c r="C151" t="s">
        <v>366</v>
      </c>
      <c r="E151" t="s">
        <v>466</v>
      </c>
      <c r="F151" s="16" t="s">
        <v>1094</v>
      </c>
      <c r="H151" s="8" t="s">
        <v>1094</v>
      </c>
      <c r="K151" t="s">
        <v>481</v>
      </c>
      <c r="L151" t="s">
        <v>485</v>
      </c>
      <c r="M151" t="str">
        <f t="shared" si="9"/>
        <v>false</v>
      </c>
      <c r="N151" s="4" t="str">
        <f>"{ ""workOsisID"": """&amp;G151&amp;""", ""bookName"": """&amp;A151&amp;""", ""bookSubtitle"": """&amp;B151&amp;""", ""bookOsisID"": """&amp;C151&amp;""", ""paratext"": "&amp;IF(D151="","null",""""&amp;D151&amp;"""")&amp;", ""groups"": "&amp;E151&amp;", ""aliases"": "&amp;F151&amp;", ""chapterLabel"": """&amp;K151&amp;""", ""verseLabel"": """&amp;L151&amp;""", ""authors"": "&amp;H151&amp;", ""dateEarliest"": """&amp;I151&amp;""", ""dateLatest"": """&amp;J151&amp;""", ""hasData"": "&amp;M151&amp;" },"</f>
        <v>{ "workOsisID": "", "bookName": "Shepherd of Hermas, Similitudes", "bookSubtitle": "The Shepherd of Hermas - 10 Parables", "bookOsisID": "Herm.Sim", "paratext": null, "groups": ["Apostolic Fathers", "Apocrypha"], "aliases": [], "chapterLabel": "Chapter", "verseLabel": "Verse", "authors": [], "dateEarliest": "", "dateLatest": "", "hasData": false },</v>
      </c>
    </row>
    <row r="152" spans="1:14" x14ac:dyDescent="0.2">
      <c r="A152" t="s">
        <v>369</v>
      </c>
      <c r="B152" t="s">
        <v>563</v>
      </c>
      <c r="C152" t="s">
        <v>368</v>
      </c>
      <c r="E152" t="s">
        <v>466</v>
      </c>
      <c r="F152" s="16" t="s">
        <v>1094</v>
      </c>
      <c r="H152" s="8" t="s">
        <v>1094</v>
      </c>
      <c r="K152" t="s">
        <v>481</v>
      </c>
      <c r="L152" t="s">
        <v>485</v>
      </c>
      <c r="M152" t="str">
        <f t="shared" si="9"/>
        <v>false</v>
      </c>
      <c r="N152" s="4" t="str">
        <f>"{ ""workOsisID"": """&amp;G152&amp;""", ""bookName"": """&amp;A152&amp;""", ""bookSubtitle"": """&amp;B152&amp;""", ""bookOsisID"": """&amp;C152&amp;""", ""paratext"": "&amp;IF(D152="","null",""""&amp;D152&amp;"""")&amp;", ""groups"": "&amp;E152&amp;", ""aliases"": "&amp;F152&amp;", ""chapterLabel"": """&amp;K152&amp;""", ""verseLabel"": """&amp;L152&amp;""", ""authors"": "&amp;H152&amp;", ""dateEarliest"": """&amp;I152&amp;""", ""dateLatest"": """&amp;J152&amp;""", ""hasData"": "&amp;M152&amp;" },"</f>
        <v>{ "workOsisID": "", "bookName": "Shepherd of Hermas, Visions", "bookSubtitle": "The Shepherd of Hermas - 5 visions", "bookOsisID": "Herm.Vis", "paratext": null, "groups": ["Apostolic Fathers", "Apocrypha"], "aliases": [], "chapterLabel": "Chapter", "verseLabel": "Verse", "authors": [], "dateEarliest": "", "dateLatest": "", "hasData": false },</v>
      </c>
    </row>
    <row r="153" spans="1:14" x14ac:dyDescent="0.2">
      <c r="A153" t="s">
        <v>371</v>
      </c>
      <c r="B153" t="s">
        <v>564</v>
      </c>
      <c r="C153" t="s">
        <v>370</v>
      </c>
      <c r="E153" t="s">
        <v>466</v>
      </c>
      <c r="F153" s="16" t="s">
        <v>1094</v>
      </c>
      <c r="H153" s="8" t="s">
        <v>1094</v>
      </c>
      <c r="K153" t="s">
        <v>481</v>
      </c>
      <c r="L153" t="s">
        <v>485</v>
      </c>
      <c r="M153" t="str">
        <f t="shared" si="9"/>
        <v>false</v>
      </c>
      <c r="N153" s="4" t="str">
        <f>"{ ""workOsisID"": """&amp;G153&amp;""", ""bookName"": """&amp;A153&amp;""", ""bookSubtitle"": """&amp;B153&amp;""", ""bookOsisID"": """&amp;C153&amp;""", ""paratext"": "&amp;IF(D153="","null",""""&amp;D153&amp;"""")&amp;", ""groups"": "&amp;E153&amp;", ""aliases"": "&amp;F153&amp;", ""chapterLabel"": """&amp;K153&amp;""", ""verseLabel"": """&amp;L153&amp;""", ""authors"": "&amp;H153&amp;", ""dateEarliest"": """&amp;I153&amp;""", ""dateLatest"": """&amp;J153&amp;""", ""hasData"": "&amp;M153&amp;" },"</f>
        <v>{ "workOsisID": "", "bookName": "Diognetus", "bookSubtitle": "The Epistle to Diognetus", "bookOsisID": "Diogn", "paratext": null, "groups": ["Apostolic Fathers", "Apocrypha"], "aliases": [], "chapterLabel": "Chapter", "verseLabel": "Verse", "authors": [], "dateEarliest": "", "dateLatest": "", "hasData": false },</v>
      </c>
    </row>
    <row r="154" spans="1:14" x14ac:dyDescent="0.2">
      <c r="A154" s="3" t="s">
        <v>403</v>
      </c>
      <c r="B154" s="3"/>
      <c r="C154" t="s">
        <v>372</v>
      </c>
      <c r="E154" t="s">
        <v>466</v>
      </c>
      <c r="F154" s="16" t="s">
        <v>1094</v>
      </c>
      <c r="H154" s="8" t="s">
        <v>1094</v>
      </c>
      <c r="K154" t="s">
        <v>481</v>
      </c>
      <c r="L154" t="s">
        <v>485</v>
      </c>
      <c r="M154" t="str">
        <f t="shared" si="9"/>
        <v>false</v>
      </c>
      <c r="N154" s="4" t="str">
        <f>"{ ""workOsisID"": """&amp;G154&amp;""", ""bookName"": """&amp;A154&amp;""", ""bookSubtitle"": """&amp;B154&amp;""", ""bookOsisID"": """&amp;C154&amp;""", ""paratext"": "&amp;IF(D154="","null",""""&amp;D154&amp;"""")&amp;", ""groups"": "&amp;E154&amp;", ""aliases"": "&amp;F154&amp;", ""chapterLabel"": """&amp;K154&amp;""", ""verseLabel"": """&amp;L154&amp;""", ""authors"": "&amp;H154&amp;", ""dateEarliest"": """&amp;I154&amp;""", ""dateLatest"": """&amp;J154&amp;""", ""hasData"": "&amp;M154&amp;" },"</f>
        <v>{ "workOsisID": "", "bookName": "Apostles' Creed", "bookSubtitle": "", "bookOsisID": "AposCreed", "paratext": null, "groups": ["Apostolic Fathers", "Apocrypha"], "aliases": [], "chapterLabel": "Chapter", "verseLabel": "Verse", "authors": [], "dateEarliest": "", "dateLatest": "", "hasData": false },</v>
      </c>
    </row>
    <row r="155" spans="1:14" x14ac:dyDescent="0.2">
      <c r="A155" t="s">
        <v>404</v>
      </c>
      <c r="B155" t="s">
        <v>565</v>
      </c>
      <c r="C155" t="s">
        <v>373</v>
      </c>
      <c r="E155" t="s">
        <v>466</v>
      </c>
      <c r="F155" s="16" t="s">
        <v>1094</v>
      </c>
      <c r="H155" s="8" t="s">
        <v>1124</v>
      </c>
      <c r="K155" t="s">
        <v>481</v>
      </c>
      <c r="L155" t="s">
        <v>485</v>
      </c>
      <c r="M155" t="str">
        <f t="shared" si="9"/>
        <v>false</v>
      </c>
      <c r="N155" s="4" t="str">
        <f>"{ ""workOsisID"": """&amp;G155&amp;""", ""bookName"": """&amp;A155&amp;""", ""bookSubtitle"": """&amp;B155&amp;""", ""bookOsisID"": """&amp;C155&amp;""", ""paratext"": "&amp;IF(D155="","null",""""&amp;D155&amp;"""")&amp;", ""groups"": "&amp;E155&amp;", ""aliases"": "&amp;F155&amp;", ""chapterLabel"": """&amp;K155&amp;""", ""verseLabel"": """&amp;L155&amp;""", ""authors"": "&amp;H155&amp;", ""dateEarliest"": """&amp;I155&amp;""", ""dateLatest"": """&amp;J155&amp;""", ""hasData"": "&amp;M155&amp;" },"</f>
        <v>{ "workOsisID": "", "bookName": "Fragments of Papias", "bookSubtitle": "Fragments of the Writings of Papias of Hierapolis", "bookOsisID": "PapFrag", "paratext": null, "groups": ["Apostolic Fathers", "Apocrypha"], "aliases": [], "chapterLabel": "Chapter", "verseLabel": "Verse", "authors": ["Papias"], "dateEarliest": "", "dateLatest": "", "hasData": false },</v>
      </c>
    </row>
    <row r="156" spans="1:14" x14ac:dyDescent="0.2">
      <c r="A156" t="s">
        <v>405</v>
      </c>
      <c r="C156" t="s">
        <v>374</v>
      </c>
      <c r="E156" t="s">
        <v>466</v>
      </c>
      <c r="F156" s="16" t="s">
        <v>1094</v>
      </c>
      <c r="H156" s="8" t="s">
        <v>1094</v>
      </c>
      <c r="K156" t="s">
        <v>481</v>
      </c>
      <c r="L156" t="s">
        <v>485</v>
      </c>
      <c r="M156" t="str">
        <f t="shared" si="9"/>
        <v>false</v>
      </c>
      <c r="N156" s="4" t="str">
        <f>"{ ""workOsisID"": """&amp;G156&amp;""", ""bookName"": """&amp;A156&amp;""", ""bookSubtitle"": """&amp;B156&amp;""", ""bookOsisID"": """&amp;C156&amp;""", ""paratext"": "&amp;IF(D156="","null",""""&amp;D156&amp;"""")&amp;", ""groups"": "&amp;E156&amp;", ""aliases"": "&amp;F156&amp;", ""chapterLabel"": """&amp;K156&amp;""", ""verseLabel"": """&amp;L156&amp;""", ""authors"": "&amp;H156&amp;", ""dateEarliest"": """&amp;I156&amp;""", ""dateLatest"": """&amp;J156&amp;""", ""hasData"": "&amp;M156&amp;" },"</f>
        <v>{ "workOsisID": "", "bookName": "Reliques of the Elders", "bookSubtitle": "", "bookOsisID": "RelElders", "paratext": null, "groups": ["Apostolic Fathers", "Apocrypha"], "aliases": [], "chapterLabel": "Chapter", "verseLabel": "Verse", "authors": [], "dateEarliest": "", "dateLatest": "", "hasData": false },</v>
      </c>
    </row>
    <row r="157" spans="1:14" x14ac:dyDescent="0.2">
      <c r="A157" t="s">
        <v>406</v>
      </c>
      <c r="B157" t="s">
        <v>566</v>
      </c>
      <c r="C157" t="s">
        <v>375</v>
      </c>
      <c r="E157" t="s">
        <v>466</v>
      </c>
      <c r="F157" s="16" t="s">
        <v>1094</v>
      </c>
      <c r="H157" s="8" t="s">
        <v>1125</v>
      </c>
      <c r="K157" t="s">
        <v>481</v>
      </c>
      <c r="L157" t="s">
        <v>485</v>
      </c>
      <c r="M157" t="str">
        <f t="shared" si="9"/>
        <v>false</v>
      </c>
      <c r="N157" s="4" t="str">
        <f>"{ ""workOsisID"": """&amp;G157&amp;""", ""bookName"": """&amp;A157&amp;""", ""bookSubtitle"": """&amp;B157&amp;""", ""bookOsisID"": """&amp;C157&amp;""", ""paratext"": "&amp;IF(D157="","null",""""&amp;D157&amp;"""")&amp;", ""groups"": "&amp;E157&amp;", ""aliases"": "&amp;F157&amp;", ""chapterLabel"": """&amp;K157&amp;""", ""verseLabel"": """&amp;L157&amp;""", ""authors"": "&amp;H157&amp;", ""dateEarliest"": """&amp;I157&amp;""", ""dateLatest"": """&amp;J157&amp;""", ""hasData"": "&amp;M157&amp;" },"</f>
        <v>{ "workOsisID": "", "bookName": "Fragment of Quadratus", "bookSubtitle": "Fragment of the Apology of Quadratus of Athens", "bookOsisID": "QuadFrag", "paratext": null, "groups": ["Apostolic Fathers", "Apocrypha"], "aliases": [], "chapterLabel": "Chapter", "verseLabel": "Verse", "authors": ["Quadratus"], "dateEarliest": "", "dateLatest": "", "hasData": false },</v>
      </c>
    </row>
    <row r="158" spans="1:14" x14ac:dyDescent="0.2">
      <c r="A158" t="s">
        <v>377</v>
      </c>
      <c r="C158" t="s">
        <v>376</v>
      </c>
      <c r="E158" t="s">
        <v>467</v>
      </c>
      <c r="F158" t="s">
        <v>442</v>
      </c>
      <c r="H158" s="8" t="s">
        <v>1094</v>
      </c>
      <c r="K158" t="s">
        <v>481</v>
      </c>
      <c r="L158" t="s">
        <v>485</v>
      </c>
      <c r="M158" t="str">
        <f t="shared" si="9"/>
        <v>false</v>
      </c>
      <c r="N158" s="4" t="str">
        <f>"{ ""workOsisID"": """&amp;G158&amp;""", ""bookName"": """&amp;A158&amp;""", ""bookSubtitle"": """&amp;B158&amp;""", ""bookOsisID"": """&amp;C158&amp;""", ""paratext"": "&amp;IF(D158="","null",""""&amp;D158&amp;"""")&amp;", ""groups"": "&amp;E158&amp;", ""aliases"": "&amp;F158&amp;", ""chapterLabel"": """&amp;K158&amp;""", ""verseLabel"": """&amp;L158&amp;""", ""authors"": "&amp;H158&amp;", ""dateEarliest"": """&amp;I158&amp;""", ""dateLatest"": """&amp;J158&amp;""", ""hasData"": "&amp;M158&amp;" },"</f>
        <v>{ "workOsisID": "", "bookName": "Diatessaron", "bookSubtitle": "", "bookOsisID": "TatDiat", "paratext": null, "groups": ["Apocrypha", "Apocrypha"], "aliases": ["Tatian's Diatessaron","Tatian"], "chapterLabel": "Chapter", "verseLabel": "Verse", "authors": [], "dateEarliest": "", "dateLatest": "", "hasData": false },</v>
      </c>
    </row>
    <row r="159" spans="1:14" x14ac:dyDescent="0.2">
      <c r="A159" t="s">
        <v>407</v>
      </c>
      <c r="C159" t="s">
        <v>378</v>
      </c>
      <c r="D159" t="s">
        <v>379</v>
      </c>
      <c r="E159" t="s">
        <v>467</v>
      </c>
      <c r="F159" t="s">
        <v>1094</v>
      </c>
      <c r="H159" s="8" t="s">
        <v>1094</v>
      </c>
      <c r="K159" t="s">
        <v>481</v>
      </c>
      <c r="L159" t="s">
        <v>485</v>
      </c>
      <c r="M159" t="str">
        <f t="shared" si="9"/>
        <v>false</v>
      </c>
      <c r="N159" s="4" t="str">
        <f>"{ ""workOsisID"": """&amp;G159&amp;""", ""bookName"": """&amp;A159&amp;""", ""bookSubtitle"": """&amp;B159&amp;""", ""bookOsisID"": """&amp;C159&amp;""", ""paratext"": "&amp;IF(D159="","null",""""&amp;D159&amp;"""")&amp;", ""groups"": "&amp;E159&amp;", ""aliases"": "&amp;F159&amp;", ""chapterLabel"": """&amp;K159&amp;""", ""verseLabel"": """&amp;L159&amp;""", ""authors"": "&amp;H159&amp;", ""dateEarliest"": """&amp;I159&amp;""", ""dateLatest"": """&amp;J159&amp;""", ""hasData"": "&amp;M159&amp;" },"</f>
        <v>{ "workOsisID": "", "bookName": "Metrical Psalms", "bookSubtitle": "", "bookOsisID": "PsMet", "paratext": "PSB", "groups": ["Apocrypha", "Apocrypha"], "aliases": [], "chapterLabel": "Chapter", "verseLabel": "Verse", "authors": [], "dateEarliest": "", "dateLatest": "", "hasData": false },</v>
      </c>
    </row>
    <row r="160" spans="1:14" s="4" customFormat="1" x14ac:dyDescent="0.2">
      <c r="A160" s="4" t="s">
        <v>413</v>
      </c>
      <c r="C160" s="4" t="s">
        <v>414</v>
      </c>
      <c r="E160" s="4" t="s">
        <v>468</v>
      </c>
      <c r="F160" s="4" t="s">
        <v>1156</v>
      </c>
      <c r="G160" s="7" t="s">
        <v>492</v>
      </c>
      <c r="H160" s="7" t="s">
        <v>1023</v>
      </c>
      <c r="I160" s="12" t="s">
        <v>599</v>
      </c>
      <c r="J160" s="12" t="s">
        <v>600</v>
      </c>
      <c r="K160" s="4" t="s">
        <v>481</v>
      </c>
      <c r="L160" s="4" t="s">
        <v>485</v>
      </c>
      <c r="M160" s="4" t="str">
        <f t="shared" ref="M160:M180" si="11">"true"</f>
        <v>true</v>
      </c>
      <c r="N160" s="4" t="str">
        <f>"{ ""workOsisID"": """&amp;G160&amp;""", ""bookName"": """&amp;A160&amp;""", ""bookSubtitle"": """&amp;B160&amp;""", ""bookOsisID"": """&amp;C160&amp;""", ""paratext"": "&amp;IF(D160="","null",""""&amp;D160&amp;"""")&amp;", ""groups"": "&amp;E160&amp;", ""aliases"": "&amp;F160&amp;", ""chapterLabel"": """&amp;K160&amp;""", ""verseLabel"": """&amp;L160&amp;""", ""authors"": "&amp;H160&amp;", ""dateEarliest"": """&amp;I160&amp;""", ""dateLatest"": """&amp;J160&amp;""", ""hasData"": "&amp;M160&amp;" },"</f>
        <v>{ "workOsisID": "BofM", "bookName": "1 Nephi", "bookSubtitle": "", "bookOsisID": "1Ne", "paratext": null, "groups": ["Book of Mormon", "Small Plates of Nephi", "LDS"], "aliases": ["1 Ne", "1st Nephi", "First Nephi", "The First Book of Nephi","I Nephi"], "chapterLabel": "Chapter", "verseLabel": "Verse", "authors": ["Nephi"], "dateEarliest": "-0600-01-01", "dateLatest": "-0570-01-01", "hasData": true },</v>
      </c>
    </row>
    <row r="161" spans="1:14" s="4" customFormat="1" x14ac:dyDescent="0.2">
      <c r="A161" s="4" t="s">
        <v>415</v>
      </c>
      <c r="C161" s="4" t="s">
        <v>416</v>
      </c>
      <c r="E161" s="4" t="s">
        <v>468</v>
      </c>
      <c r="F161" s="4" t="s">
        <v>1157</v>
      </c>
      <c r="G161" s="7" t="s">
        <v>492</v>
      </c>
      <c r="H161" s="7" t="s">
        <v>1023</v>
      </c>
      <c r="I161" s="12" t="s">
        <v>601</v>
      </c>
      <c r="J161" s="12" t="s">
        <v>602</v>
      </c>
      <c r="K161" s="4" t="s">
        <v>481</v>
      </c>
      <c r="L161" s="4" t="s">
        <v>485</v>
      </c>
      <c r="M161" s="4" t="str">
        <f t="shared" si="11"/>
        <v>true</v>
      </c>
      <c r="N161" s="4" t="str">
        <f>"{ ""workOsisID"": """&amp;G161&amp;""", ""bookName"": """&amp;A161&amp;""", ""bookSubtitle"": """&amp;B161&amp;""", ""bookOsisID"": """&amp;C161&amp;""", ""paratext"": "&amp;IF(D161="","null",""""&amp;D161&amp;"""")&amp;", ""groups"": "&amp;E161&amp;", ""aliases"": "&amp;F161&amp;", ""chapterLabel"": """&amp;K161&amp;""", ""verseLabel"": """&amp;L161&amp;""", ""authors"": "&amp;H161&amp;", ""dateEarliest"": """&amp;I161&amp;""", ""dateLatest"": """&amp;J161&amp;""", ""hasData"": "&amp;M161&amp;" },"</f>
        <v>{ "workOsisID": "BofM", "bookName": "2 Nephi", "bookSubtitle": "", "bookOsisID": "2Ne", "paratext": null, "groups": ["Book of Mormon", "Small Plates of Nephi", "LDS"], "aliases": ["2 Ne", "2nd Nephi", "Second Nephi", "The Second Book of Nephi", "II Nephi"], "chapterLabel": "Chapter", "verseLabel": "Verse", "authors": ["Nephi"], "dateEarliest": "-0588-01-01", "dateLatest": "-0545-01-01", "hasData": true },</v>
      </c>
    </row>
    <row r="162" spans="1:14" s="4" customFormat="1" x14ac:dyDescent="0.2">
      <c r="A162" s="4" t="s">
        <v>417</v>
      </c>
      <c r="B162" s="4" t="s">
        <v>1140</v>
      </c>
      <c r="C162" s="4" t="s">
        <v>418</v>
      </c>
      <c r="E162" s="4" t="s">
        <v>468</v>
      </c>
      <c r="F162" s="4" t="s">
        <v>1094</v>
      </c>
      <c r="G162" s="7" t="s">
        <v>492</v>
      </c>
      <c r="H162" s="7" t="s">
        <v>1024</v>
      </c>
      <c r="I162" s="12" t="s">
        <v>603</v>
      </c>
      <c r="J162" s="12" t="s">
        <v>604</v>
      </c>
      <c r="K162" s="4" t="s">
        <v>481</v>
      </c>
      <c r="L162" s="4" t="s">
        <v>485</v>
      </c>
      <c r="M162" s="4" t="str">
        <f t="shared" si="11"/>
        <v>true</v>
      </c>
      <c r="N162" s="4" t="str">
        <f>"{ ""workOsisID"": """&amp;G162&amp;""", ""bookName"": """&amp;A162&amp;""", ""bookSubtitle"": """&amp;B162&amp;""", ""bookOsisID"": """&amp;C162&amp;""", ""paratext"": "&amp;IF(D162="","null",""""&amp;D162&amp;"""")&amp;", ""groups"": "&amp;E162&amp;", ""aliases"": "&amp;F162&amp;", ""chapterLabel"": """&amp;K162&amp;""", ""verseLabel"": """&amp;L162&amp;""", ""authors"": "&amp;H162&amp;", ""dateEarliest"": """&amp;I162&amp;""", ""dateLatest"": """&amp;J162&amp;""", ""hasData"": "&amp;M162&amp;" },"</f>
        <v>{ "workOsisID": "BofM", "bookName": "Jacob", "bookSubtitle": "the Brother of Nephi", "bookOsisID": "Jac", "paratext": null, "groups": ["Book of Mormon", "Small Plates of Nephi", "LDS"], "aliases": [], "chapterLabel": "Chapter", "verseLabel": "Verse", "authors": ["Jacob"], "dateEarliest": "-0544-01-01", "dateLatest": "-0421-01-01", "hasData": true },</v>
      </c>
    </row>
    <row r="163" spans="1:14" s="4" customFormat="1" x14ac:dyDescent="0.2">
      <c r="A163" s="4" t="s">
        <v>419</v>
      </c>
      <c r="C163" s="4" t="s">
        <v>419</v>
      </c>
      <c r="E163" s="4" t="s">
        <v>468</v>
      </c>
      <c r="F163" s="4" t="s">
        <v>1094</v>
      </c>
      <c r="G163" s="7" t="s">
        <v>492</v>
      </c>
      <c r="H163" s="7" t="s">
        <v>1126</v>
      </c>
      <c r="I163" s="12" t="s">
        <v>605</v>
      </c>
      <c r="J163" s="12" t="s">
        <v>605</v>
      </c>
      <c r="K163" s="4" t="s">
        <v>481</v>
      </c>
      <c r="L163" s="4" t="s">
        <v>485</v>
      </c>
      <c r="M163" s="4" t="str">
        <f t="shared" si="11"/>
        <v>true</v>
      </c>
      <c r="N163" s="4" t="str">
        <f>"{ ""workOsisID"": """&amp;G163&amp;""", ""bookName"": """&amp;A163&amp;""", ""bookSubtitle"": """&amp;B163&amp;""", ""bookOsisID"": """&amp;C163&amp;""", ""paratext"": "&amp;IF(D163="","null",""""&amp;D163&amp;"""")&amp;", ""groups"": "&amp;E163&amp;", ""aliases"": "&amp;F163&amp;", ""chapterLabel"": """&amp;K163&amp;""", ""verseLabel"": """&amp;L163&amp;""", ""authors"": "&amp;H163&amp;", ""dateEarliest"": """&amp;I163&amp;""", ""dateLatest"": """&amp;J163&amp;""", ""hasData"": "&amp;M163&amp;" },"</f>
        <v>{ "workOsisID": "BofM", "bookName": "Enos", "bookSubtitle": "", "bookOsisID": "Enos", "paratext": null, "groups": ["Book of Mormon", "Small Plates of Nephi", "LDS"], "aliases": [], "chapterLabel": "Chapter", "verseLabel": "Verse", "authors": ["Enos"], "dateEarliest": "-0420-01-01", "dateLatest": "-0420-01-01", "hasData": true },</v>
      </c>
    </row>
    <row r="164" spans="1:14" s="4" customFormat="1" x14ac:dyDescent="0.2">
      <c r="A164" s="4" t="s">
        <v>453</v>
      </c>
      <c r="C164" s="4" t="s">
        <v>423</v>
      </c>
      <c r="E164" s="4" t="s">
        <v>468</v>
      </c>
      <c r="F164" s="4" t="s">
        <v>1094</v>
      </c>
      <c r="G164" s="7" t="s">
        <v>492</v>
      </c>
      <c r="H164" s="7" t="s">
        <v>1127</v>
      </c>
      <c r="I164" s="12" t="s">
        <v>606</v>
      </c>
      <c r="J164" s="12" t="s">
        <v>607</v>
      </c>
      <c r="K164" s="4" t="s">
        <v>481</v>
      </c>
      <c r="L164" s="4" t="s">
        <v>485</v>
      </c>
      <c r="M164" s="4" t="str">
        <f t="shared" si="11"/>
        <v>true</v>
      </c>
      <c r="N164" s="4" t="str">
        <f>"{ ""workOsisID"": """&amp;G164&amp;""", ""bookName"": """&amp;A164&amp;""", ""bookSubtitle"": """&amp;B164&amp;""", ""bookOsisID"": """&amp;C164&amp;""", ""paratext"": "&amp;IF(D164="","null",""""&amp;D164&amp;"""")&amp;", ""groups"": "&amp;E164&amp;", ""aliases"": "&amp;F164&amp;", ""chapterLabel"": """&amp;K164&amp;""", ""verseLabel"": """&amp;L164&amp;""", ""authors"": "&amp;H164&amp;", ""dateEarliest"": """&amp;I164&amp;""", ""dateLatest"": """&amp;J164&amp;""", ""hasData"": "&amp;M164&amp;" },"</f>
        <v>{ "workOsisID": "BofM", "bookName": "Jarom", "bookSubtitle": "", "bookOsisID": "Jar", "paratext": null, "groups": ["Book of Mormon", "Small Plates of Nephi", "LDS"], "aliases": [], "chapterLabel": "Chapter", "verseLabel": "Verse", "authors": ["Jarom"], "dateEarliest": "-0399-01-01", "dateLatest": "-0361-01-01", "hasData": true },</v>
      </c>
    </row>
    <row r="165" spans="1:14" s="4" customFormat="1" x14ac:dyDescent="0.2">
      <c r="A165" s="4" t="s">
        <v>420</v>
      </c>
      <c r="C165" s="4" t="s">
        <v>420</v>
      </c>
      <c r="E165" s="4" t="s">
        <v>468</v>
      </c>
      <c r="F165" s="4" t="s">
        <v>1094</v>
      </c>
      <c r="G165" s="7" t="s">
        <v>492</v>
      </c>
      <c r="H165" s="7" t="s">
        <v>1128</v>
      </c>
      <c r="I165" s="12" t="s">
        <v>608</v>
      </c>
      <c r="J165" s="12" t="s">
        <v>609</v>
      </c>
      <c r="K165" s="4" t="s">
        <v>481</v>
      </c>
      <c r="L165" s="4" t="s">
        <v>485</v>
      </c>
      <c r="M165" s="4" t="str">
        <f t="shared" si="11"/>
        <v>true</v>
      </c>
      <c r="N165" s="4" t="str">
        <f>"{ ""workOsisID"": """&amp;G165&amp;""", ""bookName"": """&amp;A165&amp;""", ""bookSubtitle"": """&amp;B165&amp;""", ""bookOsisID"": """&amp;C165&amp;""", ""paratext"": "&amp;IF(D165="","null",""""&amp;D165&amp;"""")&amp;", ""groups"": "&amp;E165&amp;", ""aliases"": "&amp;F165&amp;", ""chapterLabel"": """&amp;K165&amp;""", ""verseLabel"": """&amp;L165&amp;""", ""authors"": "&amp;H165&amp;", ""dateEarliest"": """&amp;I165&amp;""", ""dateLatest"": """&amp;J165&amp;""", ""hasData"": "&amp;M165&amp;" },"</f>
        <v>{ "workOsisID": "BofM", "bookName": "Omni", "bookSubtitle": "", "bookOsisID": "Omni", "paratext": null, "groups": ["Book of Mormon", "Small Plates of Nephi", "LDS"], "aliases": [], "chapterLabel": "Chapter", "verseLabel": "Verse", "authors": ["Omni","Chemish","Abinadom","Amaleki"], "dateEarliest": "-0323-01-01", "dateLatest": "-0130-01-01", "hasData": true },</v>
      </c>
    </row>
    <row r="166" spans="1:14" s="4" customFormat="1" x14ac:dyDescent="0.2">
      <c r="A166" s="4" t="s">
        <v>421</v>
      </c>
      <c r="C166" s="4" t="s">
        <v>422</v>
      </c>
      <c r="E166" s="4" t="s">
        <v>469</v>
      </c>
      <c r="F166" s="4" t="s">
        <v>1094</v>
      </c>
      <c r="G166" s="7" t="s">
        <v>492</v>
      </c>
      <c r="H166" s="7" t="s">
        <v>1025</v>
      </c>
      <c r="I166" s="12" t="s">
        <v>610</v>
      </c>
      <c r="J166" s="12" t="s">
        <v>610</v>
      </c>
      <c r="K166" s="4" t="s">
        <v>481</v>
      </c>
      <c r="L166" s="4" t="s">
        <v>485</v>
      </c>
      <c r="M166" s="4" t="str">
        <f t="shared" si="11"/>
        <v>true</v>
      </c>
      <c r="N166" s="4" t="str">
        <f>"{ ""workOsisID"": """&amp;G166&amp;""", ""bookName"": """&amp;A166&amp;""", ""bookSubtitle"": """&amp;B166&amp;""", ""bookOsisID"": """&amp;C166&amp;""", ""paratext"": "&amp;IF(D166="","null",""""&amp;D166&amp;"""")&amp;", ""groups"": "&amp;E166&amp;", ""aliases"": "&amp;F166&amp;", ""chapterLabel"": """&amp;K166&amp;""", ""verseLabel"": """&amp;L166&amp;""", ""authors"": "&amp;H166&amp;", ""dateEarliest"": """&amp;I166&amp;""", ""dateLatest"": """&amp;J166&amp;""", ""hasData"": "&amp;M166&amp;" },"</f>
        <v>{ "workOsisID": "BofM", "bookName": "Words of Mormon", "bookSubtitle": "", "bookOsisID": "WoM", "paratext": null, "groups": ["Book of Mormon", "LDS","Mormon"], "aliases": [], "chapterLabel": "Chapter", "verseLabel": "Verse", "authors": ["Mormon"], "dateEarliest": "0385-01-01", "dateLatest": "0385-01-01", "hasData": true },</v>
      </c>
    </row>
    <row r="167" spans="1:14" s="4" customFormat="1" x14ac:dyDescent="0.2">
      <c r="A167" s="4" t="s">
        <v>424</v>
      </c>
      <c r="C167" s="4" t="s">
        <v>437</v>
      </c>
      <c r="E167" s="4" t="s">
        <v>470</v>
      </c>
      <c r="F167" s="4" t="s">
        <v>1094</v>
      </c>
      <c r="G167" s="7" t="s">
        <v>492</v>
      </c>
      <c r="H167" s="7" t="s">
        <v>1025</v>
      </c>
      <c r="I167" s="12" t="s">
        <v>609</v>
      </c>
      <c r="J167" s="12" t="s">
        <v>611</v>
      </c>
      <c r="K167" s="4" t="s">
        <v>481</v>
      </c>
      <c r="L167" s="4" t="s">
        <v>485</v>
      </c>
      <c r="M167" s="4" t="str">
        <f t="shared" si="11"/>
        <v>true</v>
      </c>
      <c r="N167" s="4" t="str">
        <f>"{ ""workOsisID"": """&amp;G167&amp;""", ""bookName"": """&amp;A167&amp;""", ""bookSubtitle"": """&amp;B167&amp;""", ""bookOsisID"": """&amp;C167&amp;""", ""paratext"": "&amp;IF(D167="","null",""""&amp;D167&amp;"""")&amp;", ""groups"": "&amp;E167&amp;", ""aliases"": "&amp;F167&amp;", ""chapterLabel"": """&amp;K167&amp;""", ""verseLabel"": """&amp;L167&amp;""", ""authors"": "&amp;H167&amp;", ""dateEarliest"": """&amp;I167&amp;""", ""dateLatest"": """&amp;J167&amp;""", ""hasData"": "&amp;M167&amp;" },"</f>
        <v>{ "workOsisID": "BofM", "bookName": "Mosiah", "bookSubtitle": "", "bookOsisID": "Mosi", "paratext": null, "groups": ["Book of Mormon", "LDS", "Mormon", "Large Plates of Nephi", "Abridgement"], "aliases": [], "chapterLabel": "Chapter", "verseLabel": "Verse", "authors": ["Mormon"], "dateEarliest": "-0130-01-01", "dateLatest": "-0091-01-01", "hasData": true },</v>
      </c>
    </row>
    <row r="168" spans="1:14" s="4" customFormat="1" x14ac:dyDescent="0.2">
      <c r="A168" s="4" t="s">
        <v>425</v>
      </c>
      <c r="B168" s="4" t="s">
        <v>1141</v>
      </c>
      <c r="C168" s="4" t="s">
        <v>425</v>
      </c>
      <c r="E168" s="4" t="s">
        <v>470</v>
      </c>
      <c r="F168" s="4" t="s">
        <v>1094</v>
      </c>
      <c r="G168" s="7" t="s">
        <v>492</v>
      </c>
      <c r="H168" s="7" t="s">
        <v>1025</v>
      </c>
      <c r="I168" s="12" t="s">
        <v>611</v>
      </c>
      <c r="J168" s="12" t="s">
        <v>612</v>
      </c>
      <c r="K168" s="4" t="s">
        <v>481</v>
      </c>
      <c r="L168" s="4" t="s">
        <v>485</v>
      </c>
      <c r="M168" s="4" t="str">
        <f t="shared" si="11"/>
        <v>true</v>
      </c>
      <c r="N168" s="4" t="str">
        <f>"{ ""workOsisID"": """&amp;G168&amp;""", ""bookName"": """&amp;A168&amp;""", ""bookSubtitle"": """&amp;B168&amp;""", ""bookOsisID"": """&amp;C168&amp;""", ""paratext"": "&amp;IF(D168="","null",""""&amp;D168&amp;"""")&amp;", ""groups"": "&amp;E168&amp;", ""aliases"": "&amp;F168&amp;", ""chapterLabel"": """&amp;K168&amp;""", ""verseLabel"": """&amp;L168&amp;""", ""authors"": "&amp;H168&amp;", ""dateEarliest"": """&amp;I168&amp;""", ""dateLatest"": """&amp;J168&amp;""", ""hasData"": "&amp;M168&amp;" },"</f>
        <v>{ "workOsisID": "BofM", "bookName": "Alma", "bookSubtitle": "the Son of Alma", "bookOsisID": "Alma", "paratext": null, "groups": ["Book of Mormon", "LDS", "Mormon", "Large Plates of Nephi", "Abridgement"], "aliases": [], "chapterLabel": "Chapter", "verseLabel": "Verse", "authors": ["Mormon"], "dateEarliest": "-0091-01-01", "dateLatest": "-0052-01-01", "hasData": true },</v>
      </c>
    </row>
    <row r="169" spans="1:14" s="4" customFormat="1" x14ac:dyDescent="0.2">
      <c r="A169" s="4" t="s">
        <v>426</v>
      </c>
      <c r="C169" s="4" t="s">
        <v>427</v>
      </c>
      <c r="E169" s="4" t="s">
        <v>470</v>
      </c>
      <c r="F169" s="4" t="s">
        <v>474</v>
      </c>
      <c r="G169" s="7" t="s">
        <v>492</v>
      </c>
      <c r="H169" s="7" t="s">
        <v>1025</v>
      </c>
      <c r="I169" s="12" t="s">
        <v>612</v>
      </c>
      <c r="J169" s="12" t="s">
        <v>613</v>
      </c>
      <c r="K169" s="4" t="s">
        <v>481</v>
      </c>
      <c r="L169" s="4" t="s">
        <v>485</v>
      </c>
      <c r="M169" s="4" t="str">
        <f t="shared" si="11"/>
        <v>true</v>
      </c>
      <c r="N169" s="4" t="str">
        <f>"{ ""workOsisID"": """&amp;G169&amp;""", ""bookName"": """&amp;A169&amp;""", ""bookSubtitle"": """&amp;B169&amp;""", ""bookOsisID"": """&amp;C169&amp;""", ""paratext"": "&amp;IF(D169="","null",""""&amp;D169&amp;"""")&amp;", ""groups"": "&amp;E169&amp;", ""aliases"": "&amp;F169&amp;", ""chapterLabel"": """&amp;K169&amp;""", ""verseLabel"": """&amp;L169&amp;""", ""authors"": "&amp;H169&amp;", ""dateEarliest"": """&amp;I169&amp;""", ""dateLatest"": """&amp;J169&amp;""", ""hasData"": "&amp;M169&amp;" },"</f>
        <v>{ "workOsisID": "BofM", "bookName": "Helaman", "bookSubtitle": "", "bookOsisID": "Hel", "paratext": null, "groups": ["Book of Mormon", "LDS", "Mormon", "Large Plates of Nephi", "Abridgement"], "aliases": ["He", "Hlm", "Helm"], "chapterLabel": "Chapter", "verseLabel": "Verse", "authors": ["Mormon"], "dateEarliest": "-0052-01-01", "dateLatest": "-0001-01-01", "hasData": true },</v>
      </c>
    </row>
    <row r="170" spans="1:14" s="4" customFormat="1" x14ac:dyDescent="0.2">
      <c r="A170" s="4" t="s">
        <v>428</v>
      </c>
      <c r="B170" s="4" t="s">
        <v>1139</v>
      </c>
      <c r="C170" s="4" t="s">
        <v>429</v>
      </c>
      <c r="E170" s="4" t="s">
        <v>470</v>
      </c>
      <c r="F170" s="4" t="s">
        <v>483</v>
      </c>
      <c r="G170" s="7" t="s">
        <v>492</v>
      </c>
      <c r="H170" s="7" t="s">
        <v>1025</v>
      </c>
      <c r="I170" s="12" t="s">
        <v>614</v>
      </c>
      <c r="J170" s="12" t="s">
        <v>615</v>
      </c>
      <c r="K170" s="4" t="s">
        <v>481</v>
      </c>
      <c r="L170" s="4" t="s">
        <v>485</v>
      </c>
      <c r="M170" s="4" t="str">
        <f t="shared" si="11"/>
        <v>true</v>
      </c>
      <c r="N170" s="4" t="str">
        <f>"{ ""workOsisID"": """&amp;G170&amp;""", ""bookName"": """&amp;A170&amp;""", ""bookSubtitle"": """&amp;B170&amp;""", ""bookOsisID"": """&amp;C170&amp;""", ""paratext"": "&amp;IF(D170="","null",""""&amp;D170&amp;"""")&amp;", ""groups"": "&amp;E170&amp;", ""aliases"": "&amp;F170&amp;", ""chapterLabel"": """&amp;K170&amp;""", ""verseLabel"": """&amp;L170&amp;""", ""authors"": "&amp;H170&amp;", ""dateEarliest"": """&amp;I170&amp;""", ""dateLatest"": """&amp;J170&amp;""", ""hasData"": "&amp;M170&amp;" },"</f>
        <v>{ "workOsisID": "BofM", "bookName": "3 Nephi", "bookSubtitle": "the Son of Nephi, Who Was the Son of Helaman", "bookOsisID": "3Ne", "paratext": null, "groups": ["Book of Mormon", "LDS", "Mormon", "Large Plates of Nephi", "Abridgement"], "aliases": ["3 Ne", "3rd Nephi", "Third Nephi","III Nephi"], "chapterLabel": "Chapter", "verseLabel": "Verse", "authors": ["Mormon"], "dateEarliest": "0005-01-01", "dateLatest": "0035-01-01", "hasData": true },</v>
      </c>
    </row>
    <row r="171" spans="1:14" s="4" customFormat="1" x14ac:dyDescent="0.2">
      <c r="A171" s="4" t="s">
        <v>430</v>
      </c>
      <c r="B171" s="4" t="s">
        <v>1138</v>
      </c>
      <c r="C171" s="4" t="s">
        <v>431</v>
      </c>
      <c r="E171" s="4" t="s">
        <v>470</v>
      </c>
      <c r="F171" s="4" t="s">
        <v>475</v>
      </c>
      <c r="G171" s="7" t="s">
        <v>492</v>
      </c>
      <c r="H171" s="7" t="s">
        <v>1025</v>
      </c>
      <c r="I171" s="12" t="s">
        <v>615</v>
      </c>
      <c r="J171" s="12" t="s">
        <v>616</v>
      </c>
      <c r="K171" s="4" t="s">
        <v>481</v>
      </c>
      <c r="L171" s="4" t="s">
        <v>485</v>
      </c>
      <c r="M171" s="4" t="str">
        <f t="shared" si="11"/>
        <v>true</v>
      </c>
      <c r="N171" s="4" t="str">
        <f>"{ ""workOsisID"": """&amp;G171&amp;""", ""bookName"": """&amp;A171&amp;""", ""bookSubtitle"": """&amp;B171&amp;""", ""bookOsisID"": """&amp;C171&amp;""", ""paratext"": "&amp;IF(D171="","null",""""&amp;D171&amp;"""")&amp;", ""groups"": "&amp;E171&amp;", ""aliases"": "&amp;F171&amp;", ""chapterLabel"": """&amp;K171&amp;""", ""verseLabel"": """&amp;L171&amp;""", ""authors"": "&amp;H171&amp;", ""dateEarliest"": """&amp;I171&amp;""", ""dateLatest"": """&amp;J171&amp;""", ""hasData"": "&amp;M171&amp;" },"</f>
        <v>{ "workOsisID": "BofM", "bookName": "4 Nephi", "bookSubtitle": "Who Is the Son of Nephi—One of the Disciples of Jesus Christ", "bookOsisID": "4Ne", "paratext": null, "groups": ["Book of Mormon", "LDS", "Mormon", "Large Plates of Nephi", "Abridgement"], "aliases": ["4 Ne", "4th Nephi", "Fourth Nephi","IV Nephi"], "chapterLabel": "Chapter", "verseLabel": "Verse", "authors": ["Mormon"], "dateEarliest": "0035-01-01", "dateLatest": "0321-01-01", "hasData": true },</v>
      </c>
    </row>
    <row r="172" spans="1:14" s="4" customFormat="1" x14ac:dyDescent="0.2">
      <c r="A172" s="4" t="s">
        <v>432</v>
      </c>
      <c r="C172" s="4" t="s">
        <v>433</v>
      </c>
      <c r="E172" s="4" t="s">
        <v>470</v>
      </c>
      <c r="F172" s="4" t="s">
        <v>1158</v>
      </c>
      <c r="G172" s="7" t="s">
        <v>492</v>
      </c>
      <c r="H172" s="7" t="s">
        <v>1025</v>
      </c>
      <c r="I172" s="12" t="s">
        <v>616</v>
      </c>
      <c r="J172" s="12" t="s">
        <v>617</v>
      </c>
      <c r="K172" s="4" t="s">
        <v>481</v>
      </c>
      <c r="L172" s="4" t="s">
        <v>485</v>
      </c>
      <c r="M172" s="4" t="str">
        <f t="shared" si="11"/>
        <v>true</v>
      </c>
      <c r="N172" s="4" t="str">
        <f>"{ ""workOsisID"": """&amp;G172&amp;""", ""bookName"": """&amp;A172&amp;""", ""bookSubtitle"": """&amp;B172&amp;""", ""bookOsisID"": """&amp;C172&amp;""", ""paratext"": "&amp;IF(D172="","null",""""&amp;D172&amp;"""")&amp;", ""groups"": "&amp;E172&amp;", ""aliases"": "&amp;F172&amp;", ""chapterLabel"": """&amp;K172&amp;""", ""verseLabel"": """&amp;L172&amp;""", ""authors"": "&amp;H172&amp;", ""dateEarliest"": """&amp;I172&amp;""", ""dateLatest"": """&amp;J172&amp;""", ""hasData"": "&amp;M172&amp;" },"</f>
        <v>{ "workOsisID": "BofM", "bookName": "Mormon", "bookSubtitle": "", "bookOsisID": "Morm", "paratext": null, "groups": ["Book of Mormon", "LDS", "Mormon", "Large Plates of Nephi", "Abridgement"], "aliases": ["Mmn"], "chapterLabel": "Chapter", "verseLabel": "Verse", "authors": ["Mormon"], "dateEarliest": "0321-01-01", "dateLatest": "0421-01-01", "hasData": true },</v>
      </c>
    </row>
    <row r="173" spans="1:14" s="4" customFormat="1" x14ac:dyDescent="0.2">
      <c r="A173" s="4" t="s">
        <v>435</v>
      </c>
      <c r="B173" s="4" t="s">
        <v>1142</v>
      </c>
      <c r="C173" s="4" t="s">
        <v>436</v>
      </c>
      <c r="E173" s="4" t="s">
        <v>470</v>
      </c>
      <c r="F173" s="4" t="s">
        <v>1094</v>
      </c>
      <c r="G173" s="7" t="s">
        <v>492</v>
      </c>
      <c r="H173" s="7" t="s">
        <v>1025</v>
      </c>
      <c r="I173" s="12" t="s">
        <v>618</v>
      </c>
      <c r="J173" s="12" t="s">
        <v>619</v>
      </c>
      <c r="K173" s="4" t="s">
        <v>481</v>
      </c>
      <c r="L173" s="4" t="s">
        <v>485</v>
      </c>
      <c r="M173" s="4" t="str">
        <f t="shared" si="11"/>
        <v>true</v>
      </c>
      <c r="N173" s="4" t="str">
        <f>"{ ""workOsisID"": """&amp;G173&amp;""", ""bookName"": """&amp;A173&amp;""", ""bookSubtitle"": """&amp;B173&amp;""", ""bookOsisID"": """&amp;C173&amp;""", ""paratext"": "&amp;IF(D173="","null",""""&amp;D173&amp;"""")&amp;", ""groups"": "&amp;E173&amp;", ""aliases"": "&amp;F173&amp;", ""chapterLabel"": """&amp;K173&amp;""", ""verseLabel"": """&amp;L173&amp;""", ""authors"": "&amp;H173&amp;", ""dateEarliest"": """&amp;I173&amp;""", ""dateLatest"": """&amp;J173&amp;""", ""hasData"": "&amp;M173&amp;" },"</f>
        <v>{ "workOsisID": "BofM", "bookName": "Ether", "bookSubtitle": "The record of the Jaredites, taken from the twenty-four plates found by the people of Limhi in the days of King Mosiah.", "bookOsisID": "Eth", "paratext": null, "groups": ["Book of Mormon", "LDS", "Mormon", "Large Plates of Nephi", "Abridgement"], "aliases": [], "chapterLabel": "Chapter", "verseLabel": "Verse", "authors": ["Mormon"], "dateEarliest": "-2200-01-01", "dateLatest": "-0350-01-01", "hasData": true },</v>
      </c>
    </row>
    <row r="174" spans="1:14" s="4" customFormat="1" x14ac:dyDescent="0.2">
      <c r="A174" s="4" t="s">
        <v>434</v>
      </c>
      <c r="C174" s="4" t="s">
        <v>438</v>
      </c>
      <c r="E174" s="4" t="s">
        <v>470</v>
      </c>
      <c r="F174" s="4" t="s">
        <v>1159</v>
      </c>
      <c r="G174" s="7" t="s">
        <v>492</v>
      </c>
      <c r="H174" s="7" t="s">
        <v>1025</v>
      </c>
      <c r="I174" s="12" t="s">
        <v>620</v>
      </c>
      <c r="J174" s="12" t="s">
        <v>620</v>
      </c>
      <c r="K174" s="4" t="s">
        <v>481</v>
      </c>
      <c r="L174" s="4" t="s">
        <v>485</v>
      </c>
      <c r="M174" s="4" t="str">
        <f t="shared" si="11"/>
        <v>true</v>
      </c>
      <c r="N174" s="4" t="str">
        <f>"{ ""workOsisID"": """&amp;G174&amp;""", ""bookName"": """&amp;A174&amp;""", ""bookSubtitle"": """&amp;B174&amp;""", ""bookOsisID"": """&amp;C174&amp;""", ""paratext"": "&amp;IF(D174="","null",""""&amp;D174&amp;"""")&amp;", ""groups"": "&amp;E174&amp;", ""aliases"": "&amp;F174&amp;", ""chapterLabel"": """&amp;K174&amp;""", ""verseLabel"": """&amp;L174&amp;""", ""authors"": "&amp;H174&amp;", ""dateEarliest"": """&amp;I174&amp;""", ""dateLatest"": """&amp;J174&amp;""", ""hasData"": "&amp;M174&amp;" },"</f>
        <v>{ "workOsisID": "BofM", "bookName": "Moroni", "bookSubtitle": "", "bookOsisID": "Moro", "paratext": null, "groups": ["Book of Mormon", "LDS", "Mormon", "Large Plates of Nephi", "Abridgement"], "aliases": ["Mni"], "chapterLabel": "Chapter", "verseLabel": "Verse", "authors": ["Mormon"], "dateEarliest": "0401-01-01", "dateLatest": "0401-01-01", "hasData": true },</v>
      </c>
    </row>
    <row r="175" spans="1:14" s="4" customFormat="1" x14ac:dyDescent="0.2">
      <c r="A175" s="4" t="s">
        <v>440</v>
      </c>
      <c r="B175" s="4" t="s">
        <v>580</v>
      </c>
      <c r="C175" s="4" t="s">
        <v>441</v>
      </c>
      <c r="E175" s="4" t="s">
        <v>471</v>
      </c>
      <c r="F175" s="4" t="s">
        <v>1160</v>
      </c>
      <c r="G175" s="7" t="s">
        <v>493</v>
      </c>
      <c r="H175" s="7" t="s">
        <v>1009</v>
      </c>
      <c r="I175" s="7"/>
      <c r="J175" s="7"/>
      <c r="K175" s="4" t="s">
        <v>481</v>
      </c>
      <c r="L175" s="4" t="s">
        <v>485</v>
      </c>
      <c r="M175" s="4" t="str">
        <f t="shared" si="11"/>
        <v>true</v>
      </c>
      <c r="N175" s="4" t="str">
        <f>"{ ""workOsisID"": """&amp;G175&amp;""", ""bookName"": """&amp;A175&amp;""", ""bookSubtitle"": """&amp;B175&amp;""", ""bookOsisID"": """&amp;C175&amp;""", ""paratext"": "&amp;IF(D175="","null",""""&amp;D175&amp;"""")&amp;", ""groups"": "&amp;E175&amp;", ""aliases"": "&amp;F175&amp;", ""chapterLabel"": """&amp;K175&amp;""", ""verseLabel"": """&amp;L175&amp;""", ""authors"": "&amp;H175&amp;", ""dateEarliest"": """&amp;I175&amp;""", ""dateLatest"": """&amp;J175&amp;""", ""hasData"": "&amp;M175&amp;" },"</f>
        <v>{ "workOsisID": "PGP", "bookName": "Moses", "bookSubtitle": "Selections from the Book of Moses", "bookOsisID": "Mos", "paratext": null, "groups": ["Pearl of Great Price", "Inspired Translation", "Joseph Smith Translation", "JST", "Joseph Smith", "LDS"], "aliases": ["The Book of Moses"], "chapterLabel": "Chapter", "verseLabel": "Verse", "authors": ["Moses"], "dateEarliest": "", "dateLatest": "", "hasData": true },</v>
      </c>
    </row>
    <row r="176" spans="1:14" s="4" customFormat="1" x14ac:dyDescent="0.2">
      <c r="A176" s="4" t="s">
        <v>445</v>
      </c>
      <c r="B176" s="4" t="s">
        <v>581</v>
      </c>
      <c r="C176" s="4" t="s">
        <v>446</v>
      </c>
      <c r="E176" s="4" t="s">
        <v>471</v>
      </c>
      <c r="F176" s="4" t="s">
        <v>1161</v>
      </c>
      <c r="G176" s="7" t="s">
        <v>493</v>
      </c>
      <c r="H176" s="7" t="s">
        <v>1026</v>
      </c>
      <c r="I176" s="7"/>
      <c r="J176" s="7"/>
      <c r="K176" s="4" t="s">
        <v>481</v>
      </c>
      <c r="L176" s="4" t="s">
        <v>485</v>
      </c>
      <c r="M176" s="4" t="str">
        <f t="shared" si="11"/>
        <v>true</v>
      </c>
      <c r="N176" s="4" t="str">
        <f>"{ ""workOsisID"": """&amp;G176&amp;""", ""bookName"": """&amp;A176&amp;""", ""bookSubtitle"": """&amp;B176&amp;""", ""bookOsisID"": """&amp;C176&amp;""", ""paratext"": "&amp;IF(D176="","null",""""&amp;D176&amp;"""")&amp;", ""groups"": "&amp;E176&amp;", ""aliases"": "&amp;F176&amp;", ""chapterLabel"": """&amp;K176&amp;""", ""verseLabel"": """&amp;L176&amp;""", ""authors"": "&amp;H176&amp;", ""dateEarliest"": """&amp;I176&amp;""", ""dateLatest"": """&amp;J176&amp;""", ""hasData"": "&amp;M176&amp;" },"</f>
        <v>{ "workOsisID": "PGP", "bookName": "Abraham", "bookSubtitle": "Translated from the Papyrus, by Joseph Smith", "bookOsisID": "Abr", "paratext": null, "groups": ["Pearl of Great Price", "Inspired Translation", "Joseph Smith Translation", "JST", "Joseph Smith", "LDS"], "aliases": ["The Book of Abraham"], "chapterLabel": "Chapter", "verseLabel": "Verse", "authors": ["Abraham"], "dateEarliest": "", "dateLatest": "", "hasData": true },</v>
      </c>
    </row>
    <row r="177" spans="1:14" s="4" customFormat="1" x14ac:dyDescent="0.2">
      <c r="A177" s="4" t="s">
        <v>447</v>
      </c>
      <c r="B177" s="4" t="s">
        <v>584</v>
      </c>
      <c r="C177" s="4" t="s">
        <v>448</v>
      </c>
      <c r="E177" s="4" t="s">
        <v>472</v>
      </c>
      <c r="F177" s="4" t="s">
        <v>476</v>
      </c>
      <c r="G177" s="7" t="s">
        <v>493</v>
      </c>
      <c r="H177" s="7" t="s">
        <v>1027</v>
      </c>
      <c r="I177" s="7"/>
      <c r="J177" s="7"/>
      <c r="L177" s="4" t="s">
        <v>486</v>
      </c>
      <c r="M177" s="4" t="str">
        <f t="shared" si="11"/>
        <v>true</v>
      </c>
      <c r="N177" s="4" t="str">
        <f>"{ ""workOsisID"": """&amp;G177&amp;""", ""bookName"": """&amp;A177&amp;""", ""bookSubtitle"": """&amp;B177&amp;""", ""bookOsisID"": """&amp;C177&amp;""", ""paratext"": "&amp;IF(D177="","null",""""&amp;D177&amp;"""")&amp;", ""groups"": "&amp;E177&amp;", ""aliases"": "&amp;F177&amp;", ""chapterLabel"": """&amp;K177&amp;""", ""verseLabel"": """&amp;L177&amp;""", ""authors"": "&amp;H177&amp;", ""dateEarliest"": """&amp;I177&amp;""", ""dateLatest"": """&amp;J177&amp;""", ""hasData"": "&amp;M177&amp;" },"</f>
        <v>{ "workOsisID": "PGP", "bookName": "Articles of Faith", "bookSubtitle": "of The Church of Jesus Christ of Latter-day Saints", "bookOsisID": "AofF", "paratext": null, "groups": ["Pearl of Great Price", "LDS", "Joseph Smith"], "aliases": ["AofF"], "chapterLabel": "", "verseLabel": "Article", "authors": ["Joseph Smith"], "dateEarliest": "", "dateLatest": "", "hasData": true },</v>
      </c>
    </row>
    <row r="178" spans="1:14" s="4" customFormat="1" x14ac:dyDescent="0.2">
      <c r="A178" s="4" t="s">
        <v>587</v>
      </c>
      <c r="B178" s="4" t="s">
        <v>583</v>
      </c>
      <c r="C178" s="4" t="s">
        <v>449</v>
      </c>
      <c r="E178" s="4" t="s">
        <v>471</v>
      </c>
      <c r="F178" s="4" t="s">
        <v>1162</v>
      </c>
      <c r="G178" s="7" t="s">
        <v>493</v>
      </c>
      <c r="H178" s="7" t="s">
        <v>1027</v>
      </c>
      <c r="I178" s="7"/>
      <c r="J178" s="7"/>
      <c r="L178" s="4" t="s">
        <v>485</v>
      </c>
      <c r="M178" s="4" t="str">
        <f t="shared" si="11"/>
        <v>true</v>
      </c>
      <c r="N178" s="4" t="str">
        <f>"{ ""workOsisID"": """&amp;G178&amp;""", ""bookName"": """&amp;A178&amp;""", ""bookSubtitle"": """&amp;B178&amp;""", ""bookOsisID"": """&amp;C178&amp;""", ""paratext"": "&amp;IF(D178="","null",""""&amp;D178&amp;"""")&amp;", ""groups"": "&amp;E178&amp;", ""aliases"": "&amp;F178&amp;", ""chapterLabel"": """&amp;K178&amp;""", ""verseLabel"": """&amp;L178&amp;""", ""authors"": "&amp;H178&amp;", ""dateEarliest"": """&amp;I178&amp;""", ""dateLatest"": """&amp;J178&amp;""", ""hasData"": "&amp;M178&amp;" },"</f>
        <v>{ "workOsisID": "PGP", "bookName": "Joseph Smith—History", "bookSubtitle": "Extracts from the History of Joseph Smith, the Prophet", "bookOsisID": "JSH", "paratext": null, "groups": ["Pearl of Great Price", "Inspired Translation", "Joseph Smith Translation", "JST", "Joseph Smith", "LDS"], "aliases": ["JSH", "JS-H", "Joseph Smith History","Joseph Smith--History"], "chapterLabel": "", "verseLabel": "Verse", "authors": ["Joseph Smith"], "dateEarliest": "", "dateLatest": "", "hasData": true },</v>
      </c>
    </row>
    <row r="179" spans="1:14" s="4" customFormat="1" x14ac:dyDescent="0.2">
      <c r="A179" s="4" t="s">
        <v>588</v>
      </c>
      <c r="B179" s="4" t="s">
        <v>582</v>
      </c>
      <c r="C179" s="4" t="s">
        <v>450</v>
      </c>
      <c r="E179" s="4" t="s">
        <v>471</v>
      </c>
      <c r="F179" s="4" t="s">
        <v>1163</v>
      </c>
      <c r="G179" s="7" t="s">
        <v>493</v>
      </c>
      <c r="H179" s="7" t="s">
        <v>1018</v>
      </c>
      <c r="I179" s="7"/>
      <c r="J179" s="7"/>
      <c r="L179" s="4" t="s">
        <v>485</v>
      </c>
      <c r="M179" s="4" t="str">
        <f t="shared" si="11"/>
        <v>true</v>
      </c>
      <c r="N179" s="4" t="str">
        <f>"{ ""workOsisID"": """&amp;G179&amp;""", ""bookName"": """&amp;A179&amp;""", ""bookSubtitle"": """&amp;B179&amp;""", ""bookOsisID"": """&amp;C179&amp;""", ""paratext"": "&amp;IF(D179="","null",""""&amp;D179&amp;"""")&amp;", ""groups"": "&amp;E179&amp;", ""aliases"": "&amp;F179&amp;", ""chapterLabel"": """&amp;K179&amp;""", ""verseLabel"": """&amp;L179&amp;""", ""authors"": "&amp;H179&amp;", ""dateEarliest"": """&amp;I179&amp;""", ""dateLatest"": """&amp;J179&amp;""", ""hasData"": "&amp;M179&amp;" },"</f>
        <v>{ "workOsisID": "PGP", "bookName": "Joseph Smith—Matthew", "bookSubtitle": "An extract from the translation of the Bible as revealed to Joseph Smith the Prophet in 1831: Matthew 23:39 and chapter 24", "bookOsisID": "JSM", "paratext": null, "groups": ["Pearl of Great Price", "Inspired Translation", "Joseph Smith Translation", "JST", "Joseph Smith", "LDS"], "aliases": ["JSM","JS-M",  "Joseph Smith Matthew","Joseph Smith--Matthew"], "chapterLabel": "", "verseLabel": "Verse", "authors": ["St. Matthew"], "dateEarliest": "", "dateLatest": "", "hasData": true },</v>
      </c>
    </row>
    <row r="180" spans="1:14" s="4" customFormat="1" x14ac:dyDescent="0.2">
      <c r="A180" s="4" t="s">
        <v>585</v>
      </c>
      <c r="B180" s="4" t="s">
        <v>584</v>
      </c>
      <c r="C180" s="4" t="s">
        <v>452</v>
      </c>
      <c r="E180" s="4" t="s">
        <v>586</v>
      </c>
      <c r="F180" s="4" t="s">
        <v>996</v>
      </c>
      <c r="G180" s="7" t="s">
        <v>452</v>
      </c>
      <c r="H180" s="7" t="s">
        <v>1027</v>
      </c>
      <c r="I180" s="7"/>
      <c r="J180" s="7"/>
      <c r="K180" s="4" t="s">
        <v>482</v>
      </c>
      <c r="L180" s="4" t="s">
        <v>485</v>
      </c>
      <c r="M180" s="4" t="str">
        <f t="shared" si="11"/>
        <v>true</v>
      </c>
      <c r="N180" s="4" t="str">
        <f>"{ ""workOsisID"": """&amp;G180&amp;""", ""bookName"": """&amp;A180&amp;""", ""bookSubtitle"": """&amp;B180&amp;""", ""bookOsisID"": """&amp;C180&amp;""", ""paratext"": "&amp;IF(D180="","null",""""&amp;D180&amp;"""")&amp;", ""groups"": "&amp;E180&amp;", ""aliases"": "&amp;F180&amp;", ""chapterLabel"": """&amp;K180&amp;""", ""verseLabel"": """&amp;L180&amp;""", ""authors"": "&amp;H180&amp;", ""dateEarliest"": """&amp;I180&amp;""", ""dateLatest"": """&amp;J180&amp;""", ""hasData"": "&amp;M180&amp;" },"</f>
        <v>{ "workOsisID": "D&amp;C", "bookName": "Doctrine and Covenants", "bookSubtitle": "of The Church of Jesus Christ of Latter-day Saints", "bookOsisID": "D&amp;C", "paratext": null, "groups": ["Doctrine and Covenants","LDS"], "aliases": ["D and C", "The Doctrine &amp; Covenants","Doctrine &amp; Covenants", "The Doctrine and Covenants"], "chapterLabel": "Section", "verseLabel": "Verse", "authors": ["Joseph Smith"], "dateEarliest": "", "dateLatest": "", "hasData": true },</v>
      </c>
    </row>
    <row r="184" spans="1:14" x14ac:dyDescent="0.2">
      <c r="A184" t="s">
        <v>663</v>
      </c>
      <c r="B184" t="s">
        <v>621</v>
      </c>
    </row>
    <row r="185" spans="1:14" x14ac:dyDescent="0.2">
      <c r="A185" t="s">
        <v>622</v>
      </c>
      <c r="B185" t="s">
        <v>621</v>
      </c>
    </row>
    <row r="186" spans="1:14" x14ac:dyDescent="0.2">
      <c r="A186" t="s">
        <v>623</v>
      </c>
      <c r="B186" t="s">
        <v>624</v>
      </c>
    </row>
    <row r="187" spans="1:14" x14ac:dyDescent="0.2">
      <c r="A187" t="s">
        <v>625</v>
      </c>
      <c r="B187" t="s">
        <v>624</v>
      </c>
    </row>
    <row r="188" spans="1:14" x14ac:dyDescent="0.2">
      <c r="A188" t="s">
        <v>626</v>
      </c>
      <c r="B188" t="s">
        <v>624</v>
      </c>
    </row>
    <row r="189" spans="1:14" x14ac:dyDescent="0.2">
      <c r="A189" t="s">
        <v>627</v>
      </c>
      <c r="B189" t="s">
        <v>624</v>
      </c>
    </row>
    <row r="190" spans="1:14" x14ac:dyDescent="0.2">
      <c r="A190" t="s">
        <v>628</v>
      </c>
      <c r="B190" t="s">
        <v>624</v>
      </c>
    </row>
    <row r="191" spans="1:14" x14ac:dyDescent="0.2">
      <c r="A191" t="s">
        <v>629</v>
      </c>
      <c r="B191" t="s">
        <v>624</v>
      </c>
    </row>
    <row r="192" spans="1:14" x14ac:dyDescent="0.2">
      <c r="A192" t="s">
        <v>630</v>
      </c>
      <c r="B192" t="s">
        <v>631</v>
      </c>
    </row>
    <row r="193" spans="1:2" x14ac:dyDescent="0.2">
      <c r="A193" t="s">
        <v>632</v>
      </c>
      <c r="B193" t="s">
        <v>631</v>
      </c>
    </row>
    <row r="194" spans="1:2" x14ac:dyDescent="0.2">
      <c r="A194" t="s">
        <v>633</v>
      </c>
      <c r="B194" t="s">
        <v>631</v>
      </c>
    </row>
    <row r="195" spans="1:2" x14ac:dyDescent="0.2">
      <c r="A195" t="s">
        <v>634</v>
      </c>
      <c r="B195" t="s">
        <v>635</v>
      </c>
    </row>
    <row r="196" spans="1:2" x14ac:dyDescent="0.2">
      <c r="A196" t="s">
        <v>636</v>
      </c>
      <c r="B196" t="s">
        <v>635</v>
      </c>
    </row>
    <row r="197" spans="1:2" x14ac:dyDescent="0.2">
      <c r="A197" t="s">
        <v>637</v>
      </c>
      <c r="B197" t="s">
        <v>635</v>
      </c>
    </row>
    <row r="198" spans="1:2" x14ac:dyDescent="0.2">
      <c r="A198" t="s">
        <v>638</v>
      </c>
      <c r="B198" t="s">
        <v>635</v>
      </c>
    </row>
    <row r="199" spans="1:2" x14ac:dyDescent="0.2">
      <c r="A199" t="s">
        <v>639</v>
      </c>
      <c r="B199" t="s">
        <v>640</v>
      </c>
    </row>
    <row r="200" spans="1:2" x14ac:dyDescent="0.2">
      <c r="A200" t="s">
        <v>641</v>
      </c>
      <c r="B200" t="s">
        <v>640</v>
      </c>
    </row>
    <row r="201" spans="1:2" x14ac:dyDescent="0.2">
      <c r="A201" t="s">
        <v>642</v>
      </c>
      <c r="B201" t="s">
        <v>643</v>
      </c>
    </row>
    <row r="202" spans="1:2" x14ac:dyDescent="0.2">
      <c r="A202" t="s">
        <v>644</v>
      </c>
      <c r="B202" t="s">
        <v>664</v>
      </c>
    </row>
    <row r="203" spans="1:2" x14ac:dyDescent="0.2">
      <c r="A203" t="s">
        <v>645</v>
      </c>
      <c r="B203" t="s">
        <v>643</v>
      </c>
    </row>
    <row r="204" spans="1:2" x14ac:dyDescent="0.2">
      <c r="A204" t="s">
        <v>647</v>
      </c>
      <c r="B204" t="s">
        <v>648</v>
      </c>
    </row>
    <row r="205" spans="1:2" x14ac:dyDescent="0.2">
      <c r="A205" t="s">
        <v>649</v>
      </c>
      <c r="B205" t="s">
        <v>648</v>
      </c>
    </row>
    <row r="206" spans="1:2" x14ac:dyDescent="0.2">
      <c r="A206" t="s">
        <v>650</v>
      </c>
      <c r="B206" t="s">
        <v>651</v>
      </c>
    </row>
    <row r="207" spans="1:2" x14ac:dyDescent="0.2">
      <c r="A207" t="s">
        <v>652</v>
      </c>
      <c r="B207" t="s">
        <v>651</v>
      </c>
    </row>
    <row r="208" spans="1:2" x14ac:dyDescent="0.2">
      <c r="A208" t="s">
        <v>653</v>
      </c>
      <c r="B208" t="s">
        <v>651</v>
      </c>
    </row>
    <row r="209" spans="1:2" x14ac:dyDescent="0.2">
      <c r="A209" t="s">
        <v>654</v>
      </c>
      <c r="B209" t="s">
        <v>655</v>
      </c>
    </row>
    <row r="210" spans="1:2" x14ac:dyDescent="0.2">
      <c r="A210" t="s">
        <v>656</v>
      </c>
      <c r="B210" t="s">
        <v>665</v>
      </c>
    </row>
    <row r="211" spans="1:2" x14ac:dyDescent="0.2">
      <c r="A211" t="s">
        <v>658</v>
      </c>
      <c r="B211" t="s">
        <v>655</v>
      </c>
    </row>
    <row r="212" spans="1:2" x14ac:dyDescent="0.2">
      <c r="A212" t="s">
        <v>659</v>
      </c>
      <c r="B212" t="s">
        <v>655</v>
      </c>
    </row>
    <row r="213" spans="1:2" x14ac:dyDescent="0.2">
      <c r="A213" t="s">
        <v>660</v>
      </c>
      <c r="B213" t="s">
        <v>666</v>
      </c>
    </row>
  </sheetData>
  <autoFilter ref="A1:E180" xr:uid="{2457BBF2-065A-6B4B-8450-DD145766C676}"/>
  <hyperlinks>
    <hyperlink ref="A18" r:id="rId1" location="cite_note-6" display="https://wiki.crosswire.org/OSIS_Book_Abbreviations - cite_note-6" xr:uid="{413E20E8-A50F-EA4D-8B77-20FFD74AB053}"/>
  </hyperlinks>
  <pageMargins left="0.7" right="0.7" top="0.75" bottom="0.75" header="0.3" footer="0.3"/>
  <pageSetup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7F1F15-738F-6644-937E-9C2F4E79F054}">
  <dimension ref="A1:D611"/>
  <sheetViews>
    <sheetView topLeftCell="A189" workbookViewId="0">
      <selection activeCell="D245" sqref="D245"/>
    </sheetView>
  </sheetViews>
  <sheetFormatPr baseColWidth="10" defaultRowHeight="16" x14ac:dyDescent="0.2"/>
  <sheetData>
    <row r="1" spans="1:3" x14ac:dyDescent="0.2">
      <c r="A1">
        <v>5</v>
      </c>
      <c r="B1" t="s">
        <v>122</v>
      </c>
      <c r="C1" s="2" t="s">
        <v>505</v>
      </c>
    </row>
    <row r="2" spans="1:3" x14ac:dyDescent="0.2">
      <c r="A2">
        <v>46</v>
      </c>
      <c r="B2" t="s">
        <v>125</v>
      </c>
      <c r="C2" s="2" t="s">
        <v>506</v>
      </c>
    </row>
    <row r="3" spans="1:3" x14ac:dyDescent="0.2">
      <c r="A3">
        <v>47</v>
      </c>
      <c r="B3" t="s">
        <v>128</v>
      </c>
      <c r="C3" s="2" t="s">
        <v>507</v>
      </c>
    </row>
    <row r="4" spans="1:3" x14ac:dyDescent="0.2">
      <c r="A4">
        <v>48</v>
      </c>
      <c r="B4" t="s">
        <v>131</v>
      </c>
      <c r="C4" s="2" t="s">
        <v>508</v>
      </c>
    </row>
    <row r="5" spans="1:3" x14ac:dyDescent="0.2">
      <c r="A5">
        <v>49</v>
      </c>
      <c r="B5" t="s">
        <v>134</v>
      </c>
      <c r="C5" s="2" t="s">
        <v>509</v>
      </c>
    </row>
    <row r="6" spans="1:3" x14ac:dyDescent="0.2">
      <c r="A6">
        <v>50</v>
      </c>
      <c r="B6" t="s">
        <v>137</v>
      </c>
      <c r="C6" s="2" t="s">
        <v>510</v>
      </c>
    </row>
    <row r="7" spans="1:3" x14ac:dyDescent="0.2">
      <c r="A7">
        <v>51</v>
      </c>
      <c r="B7" t="s">
        <v>140</v>
      </c>
      <c r="C7" s="2" t="s">
        <v>511</v>
      </c>
    </row>
    <row r="8" spans="1:3" x14ac:dyDescent="0.2">
      <c r="A8">
        <v>52</v>
      </c>
      <c r="B8" t="s">
        <v>143</v>
      </c>
      <c r="C8" s="2" t="s">
        <v>512</v>
      </c>
    </row>
    <row r="9" spans="1:3" x14ac:dyDescent="0.2">
      <c r="A9">
        <v>53</v>
      </c>
      <c r="B9" t="s">
        <v>146</v>
      </c>
      <c r="C9" s="2" t="s">
        <v>513</v>
      </c>
    </row>
    <row r="10" spans="1:3" x14ac:dyDescent="0.2">
      <c r="A10">
        <v>54</v>
      </c>
      <c r="B10" t="s">
        <v>149</v>
      </c>
      <c r="C10" s="2" t="s">
        <v>514</v>
      </c>
    </row>
    <row r="11" spans="1:3" x14ac:dyDescent="0.2">
      <c r="A11">
        <v>55</v>
      </c>
      <c r="B11" t="s">
        <v>152</v>
      </c>
      <c r="C11" s="2" t="s">
        <v>515</v>
      </c>
    </row>
    <row r="12" spans="1:3" x14ac:dyDescent="0.2">
      <c r="A12">
        <v>56</v>
      </c>
      <c r="B12" t="s">
        <v>154</v>
      </c>
      <c r="C12" s="2" t="s">
        <v>516</v>
      </c>
    </row>
    <row r="13" spans="1:3" x14ac:dyDescent="0.2">
      <c r="A13">
        <v>57</v>
      </c>
      <c r="B13" t="s">
        <v>157</v>
      </c>
      <c r="C13" s="2" t="s">
        <v>517</v>
      </c>
    </row>
    <row r="14" spans="1:3" x14ac:dyDescent="0.2">
      <c r="A14">
        <v>58</v>
      </c>
      <c r="B14" t="s">
        <v>160</v>
      </c>
      <c r="C14" s="2" t="s">
        <v>518</v>
      </c>
    </row>
    <row r="15" spans="1:3" x14ac:dyDescent="0.2">
      <c r="A15">
        <v>59</v>
      </c>
      <c r="B15" t="s">
        <v>163</v>
      </c>
      <c r="C15" s="2" t="s">
        <v>519</v>
      </c>
    </row>
    <row r="16" spans="1:3" x14ac:dyDescent="0.2">
      <c r="A16">
        <v>60</v>
      </c>
      <c r="B16" t="s">
        <v>166</v>
      </c>
      <c r="C16" s="2" t="s">
        <v>520</v>
      </c>
    </row>
    <row r="17" spans="1:3" x14ac:dyDescent="0.2">
      <c r="A17">
        <v>61</v>
      </c>
      <c r="B17" t="s">
        <v>169</v>
      </c>
      <c r="C17" s="2" t="s">
        <v>521</v>
      </c>
    </row>
    <row r="18" spans="1:3" x14ac:dyDescent="0.2">
      <c r="A18">
        <v>62</v>
      </c>
      <c r="B18" t="s">
        <v>172</v>
      </c>
      <c r="C18" s="2" t="s">
        <v>522</v>
      </c>
    </row>
    <row r="19" spans="1:3" x14ac:dyDescent="0.2">
      <c r="A19">
        <v>63</v>
      </c>
      <c r="B19" t="s">
        <v>175</v>
      </c>
      <c r="C19" s="2" t="s">
        <v>523</v>
      </c>
    </row>
    <row r="20" spans="1:3" x14ac:dyDescent="0.2">
      <c r="A20">
        <v>64</v>
      </c>
      <c r="B20" t="s">
        <v>178</v>
      </c>
      <c r="C20" s="2" t="s">
        <v>524</v>
      </c>
    </row>
    <row r="21" spans="1:3" x14ac:dyDescent="0.2">
      <c r="A21">
        <v>65</v>
      </c>
      <c r="B21" t="s">
        <v>180</v>
      </c>
      <c r="C21" s="2" t="s">
        <v>525</v>
      </c>
    </row>
    <row r="22" spans="1:3" x14ac:dyDescent="0.2">
      <c r="A22">
        <v>66</v>
      </c>
      <c r="B22" t="s">
        <v>183</v>
      </c>
      <c r="C22" s="2" t="s">
        <v>526</v>
      </c>
    </row>
    <row r="34" spans="2:3" x14ac:dyDescent="0.2">
      <c r="B34" s="14" t="s">
        <v>681</v>
      </c>
    </row>
    <row r="36" spans="2:3" x14ac:dyDescent="0.2">
      <c r="B36" s="14" t="s">
        <v>1</v>
      </c>
    </row>
    <row r="37" spans="2:3" x14ac:dyDescent="0.2">
      <c r="C37" t="str">
        <f>IF(B37="","",""""&amp;TRIM(SUBSTITUTE(B37,".",""))&amp;""",")</f>
        <v/>
      </c>
    </row>
    <row r="38" spans="2:3" x14ac:dyDescent="0.2">
      <c r="B38" s="14" t="s">
        <v>1028</v>
      </c>
      <c r="C38" t="str">
        <f t="shared" ref="C38:C101" si="0">IF(B38="","",""""&amp;TRIM(SUBSTITUTE(B38,".",""))&amp;""",")</f>
        <v>"Gen",</v>
      </c>
    </row>
    <row r="39" spans="2:3" x14ac:dyDescent="0.2">
      <c r="B39" s="14" t="s">
        <v>682</v>
      </c>
      <c r="C39" t="str">
        <f t="shared" si="0"/>
        <v>"Ge",</v>
      </c>
    </row>
    <row r="40" spans="2:3" x14ac:dyDescent="0.2">
      <c r="B40" s="14" t="s">
        <v>683</v>
      </c>
      <c r="C40" t="str">
        <f t="shared" si="0"/>
        <v>"Gn",</v>
      </c>
    </row>
    <row r="41" spans="2:3" x14ac:dyDescent="0.2">
      <c r="C41" t="str">
        <f t="shared" si="0"/>
        <v/>
      </c>
    </row>
    <row r="42" spans="2:3" x14ac:dyDescent="0.2">
      <c r="B42" s="14" t="s">
        <v>4</v>
      </c>
      <c r="C42" t="str">
        <f t="shared" si="0"/>
        <v>"Exodus",</v>
      </c>
    </row>
    <row r="43" spans="2:3" x14ac:dyDescent="0.2">
      <c r="C43" t="str">
        <f t="shared" si="0"/>
        <v/>
      </c>
    </row>
    <row r="44" spans="2:3" x14ac:dyDescent="0.2">
      <c r="B44" s="14" t="s">
        <v>1029</v>
      </c>
      <c r="C44" t="str">
        <f t="shared" si="0"/>
        <v>"Ex",</v>
      </c>
    </row>
    <row r="45" spans="2:3" x14ac:dyDescent="0.2">
      <c r="B45" s="14" t="s">
        <v>684</v>
      </c>
      <c r="C45" t="str">
        <f t="shared" si="0"/>
        <v>"Exod",</v>
      </c>
    </row>
    <row r="46" spans="2:3" x14ac:dyDescent="0.2">
      <c r="B46" s="14" t="s">
        <v>685</v>
      </c>
      <c r="C46" t="str">
        <f t="shared" si="0"/>
        <v>"Exo",</v>
      </c>
    </row>
    <row r="47" spans="2:3" x14ac:dyDescent="0.2">
      <c r="C47" t="str">
        <f t="shared" si="0"/>
        <v/>
      </c>
    </row>
    <row r="48" spans="2:3" x14ac:dyDescent="0.2">
      <c r="B48" s="14" t="s">
        <v>7</v>
      </c>
      <c r="C48" t="str">
        <f t="shared" si="0"/>
        <v>"Leviticus",</v>
      </c>
    </row>
    <row r="49" spans="2:3" x14ac:dyDescent="0.2">
      <c r="C49" t="str">
        <f t="shared" si="0"/>
        <v/>
      </c>
    </row>
    <row r="50" spans="2:3" x14ac:dyDescent="0.2">
      <c r="B50" s="14" t="s">
        <v>1030</v>
      </c>
      <c r="C50" t="str">
        <f t="shared" si="0"/>
        <v>"Lev",</v>
      </c>
    </row>
    <row r="51" spans="2:3" x14ac:dyDescent="0.2">
      <c r="B51" s="14" t="s">
        <v>686</v>
      </c>
      <c r="C51" t="str">
        <f t="shared" si="0"/>
        <v>"Le",</v>
      </c>
    </row>
    <row r="52" spans="2:3" x14ac:dyDescent="0.2">
      <c r="B52" s="14" t="s">
        <v>687</v>
      </c>
      <c r="C52" t="str">
        <f t="shared" si="0"/>
        <v>"Lv",</v>
      </c>
    </row>
    <row r="53" spans="2:3" x14ac:dyDescent="0.2">
      <c r="C53" t="str">
        <f t="shared" si="0"/>
        <v/>
      </c>
    </row>
    <row r="54" spans="2:3" x14ac:dyDescent="0.2">
      <c r="B54" s="14" t="s">
        <v>10</v>
      </c>
      <c r="C54" t="str">
        <f t="shared" si="0"/>
        <v>"Numbers",</v>
      </c>
    </row>
    <row r="55" spans="2:3" x14ac:dyDescent="0.2">
      <c r="C55" t="str">
        <f t="shared" si="0"/>
        <v/>
      </c>
    </row>
    <row r="56" spans="2:3" x14ac:dyDescent="0.2">
      <c r="B56" s="14" t="s">
        <v>1031</v>
      </c>
      <c r="C56" t="str">
        <f t="shared" si="0"/>
        <v>"Num",</v>
      </c>
    </row>
    <row r="57" spans="2:3" x14ac:dyDescent="0.2">
      <c r="B57" s="14" t="s">
        <v>688</v>
      </c>
      <c r="C57" t="str">
        <f t="shared" si="0"/>
        <v>"Nu",</v>
      </c>
    </row>
    <row r="58" spans="2:3" x14ac:dyDescent="0.2">
      <c r="B58" s="14" t="s">
        <v>689</v>
      </c>
      <c r="C58" t="str">
        <f t="shared" si="0"/>
        <v>"Nm",</v>
      </c>
    </row>
    <row r="59" spans="2:3" x14ac:dyDescent="0.2">
      <c r="B59" s="14" t="s">
        <v>690</v>
      </c>
      <c r="C59" t="str">
        <f t="shared" si="0"/>
        <v>"Nb",</v>
      </c>
    </row>
    <row r="60" spans="2:3" x14ac:dyDescent="0.2">
      <c r="C60" t="str">
        <f t="shared" si="0"/>
        <v/>
      </c>
    </row>
    <row r="61" spans="2:3" x14ac:dyDescent="0.2">
      <c r="B61" s="14" t="s">
        <v>13</v>
      </c>
      <c r="C61" t="str">
        <f t="shared" si="0"/>
        <v>"Deuteronomy",</v>
      </c>
    </row>
    <row r="62" spans="2:3" x14ac:dyDescent="0.2">
      <c r="C62" t="str">
        <f t="shared" si="0"/>
        <v/>
      </c>
    </row>
    <row r="63" spans="2:3" x14ac:dyDescent="0.2">
      <c r="B63" s="14" t="s">
        <v>1032</v>
      </c>
      <c r="C63" t="str">
        <f t="shared" si="0"/>
        <v>"Deut",</v>
      </c>
    </row>
    <row r="64" spans="2:3" x14ac:dyDescent="0.2">
      <c r="B64" s="14" t="s">
        <v>691</v>
      </c>
      <c r="C64" t="str">
        <f t="shared" si="0"/>
        <v>"De",</v>
      </c>
    </row>
    <row r="65" spans="2:3" x14ac:dyDescent="0.2">
      <c r="B65" s="14" t="s">
        <v>692</v>
      </c>
      <c r="C65" t="str">
        <f t="shared" si="0"/>
        <v>"Dt",</v>
      </c>
    </row>
    <row r="66" spans="2:3" x14ac:dyDescent="0.2">
      <c r="C66" t="str">
        <f t="shared" si="0"/>
        <v/>
      </c>
    </row>
    <row r="67" spans="2:3" x14ac:dyDescent="0.2">
      <c r="B67" s="14" t="s">
        <v>16</v>
      </c>
      <c r="C67" t="str">
        <f t="shared" si="0"/>
        <v>"Joshua",</v>
      </c>
    </row>
    <row r="68" spans="2:3" x14ac:dyDescent="0.2">
      <c r="C68" t="str">
        <f t="shared" si="0"/>
        <v/>
      </c>
    </row>
    <row r="69" spans="2:3" x14ac:dyDescent="0.2">
      <c r="B69" s="14" t="s">
        <v>1033</v>
      </c>
      <c r="C69" t="str">
        <f t="shared" si="0"/>
        <v>"Josh",</v>
      </c>
    </row>
    <row r="70" spans="2:3" x14ac:dyDescent="0.2">
      <c r="B70" s="14" t="s">
        <v>693</v>
      </c>
      <c r="C70" t="str">
        <f t="shared" si="0"/>
        <v>"Jos",</v>
      </c>
    </row>
    <row r="71" spans="2:3" x14ac:dyDescent="0.2">
      <c r="B71" s="14" t="s">
        <v>694</v>
      </c>
      <c r="C71" t="str">
        <f t="shared" si="0"/>
        <v>"Jsh",</v>
      </c>
    </row>
    <row r="72" spans="2:3" x14ac:dyDescent="0.2">
      <c r="C72" t="str">
        <f t="shared" si="0"/>
        <v/>
      </c>
    </row>
    <row r="73" spans="2:3" x14ac:dyDescent="0.2">
      <c r="B73" s="14" t="s">
        <v>19</v>
      </c>
      <c r="C73" t="str">
        <f t="shared" si="0"/>
        <v>"Judges",</v>
      </c>
    </row>
    <row r="74" spans="2:3" x14ac:dyDescent="0.2">
      <c r="C74" t="str">
        <f t="shared" si="0"/>
        <v/>
      </c>
    </row>
    <row r="75" spans="2:3" x14ac:dyDescent="0.2">
      <c r="B75" s="14" t="s">
        <v>1034</v>
      </c>
      <c r="C75" t="str">
        <f t="shared" si="0"/>
        <v>"Judg",</v>
      </c>
    </row>
    <row r="76" spans="2:3" x14ac:dyDescent="0.2">
      <c r="B76" s="14" t="s">
        <v>695</v>
      </c>
      <c r="C76" t="str">
        <f t="shared" si="0"/>
        <v>"Jdg",</v>
      </c>
    </row>
    <row r="77" spans="2:3" x14ac:dyDescent="0.2">
      <c r="B77" s="14" t="s">
        <v>696</v>
      </c>
      <c r="C77" t="str">
        <f t="shared" si="0"/>
        <v>"Jg",</v>
      </c>
    </row>
    <row r="78" spans="2:3" x14ac:dyDescent="0.2">
      <c r="B78" s="14" t="s">
        <v>697</v>
      </c>
      <c r="C78" t="str">
        <f t="shared" si="0"/>
        <v>"Jdgs",</v>
      </c>
    </row>
    <row r="79" spans="2:3" x14ac:dyDescent="0.2">
      <c r="C79" t="str">
        <f t="shared" si="0"/>
        <v/>
      </c>
    </row>
    <row r="80" spans="2:3" x14ac:dyDescent="0.2">
      <c r="B80" s="14" t="s">
        <v>21</v>
      </c>
      <c r="C80" t="str">
        <f t="shared" si="0"/>
        <v>"Ruth",</v>
      </c>
    </row>
    <row r="81" spans="2:4" x14ac:dyDescent="0.2">
      <c r="C81" t="str">
        <f t="shared" si="0"/>
        <v/>
      </c>
    </row>
    <row r="82" spans="2:4" x14ac:dyDescent="0.2">
      <c r="B82" s="14" t="s">
        <v>1035</v>
      </c>
      <c r="C82" t="str">
        <f t="shared" si="0"/>
        <v>"Ruth",</v>
      </c>
    </row>
    <row r="83" spans="2:4" x14ac:dyDescent="0.2">
      <c r="B83" s="14" t="s">
        <v>698</v>
      </c>
      <c r="C83" t="str">
        <f t="shared" si="0"/>
        <v>"Rth",</v>
      </c>
    </row>
    <row r="84" spans="2:4" x14ac:dyDescent="0.2">
      <c r="B84" s="14" t="s">
        <v>699</v>
      </c>
      <c r="C84" t="str">
        <f t="shared" si="0"/>
        <v>"Ru",</v>
      </c>
    </row>
    <row r="85" spans="2:4" x14ac:dyDescent="0.2">
      <c r="C85" t="str">
        <f t="shared" si="0"/>
        <v/>
      </c>
    </row>
    <row r="86" spans="2:4" x14ac:dyDescent="0.2">
      <c r="B86" s="14" t="s">
        <v>24</v>
      </c>
      <c r="C86" t="str">
        <f t="shared" si="0"/>
        <v>"1 Samuel",</v>
      </c>
    </row>
    <row r="87" spans="2:4" x14ac:dyDescent="0.2">
      <c r="C87" t="str">
        <f t="shared" si="0"/>
        <v/>
      </c>
    </row>
    <row r="88" spans="2:4" x14ac:dyDescent="0.2">
      <c r="B88" s="14" t="s">
        <v>1036</v>
      </c>
      <c r="C88" t="str">
        <f t="shared" si="0"/>
        <v>"1 Sam",</v>
      </c>
      <c r="D88" t="str">
        <f>C88&amp;C89&amp;C90&amp;C91&amp;C92&amp;C93&amp;C94&amp;C95&amp;C96&amp;C97&amp;C98&amp;C99&amp;C100</f>
        <v>"1 Sam","1 Sm","1 Sa","1 S","I Sam","I Sa","1Sam","1Sa","1S","1st Samuel","1st Sam","First Samuel","First Sam",</v>
      </c>
    </row>
    <row r="89" spans="2:4" x14ac:dyDescent="0.2">
      <c r="B89" s="14" t="s">
        <v>700</v>
      </c>
      <c r="C89" t="str">
        <f t="shared" si="0"/>
        <v>"1 Sm",</v>
      </c>
    </row>
    <row r="90" spans="2:4" x14ac:dyDescent="0.2">
      <c r="B90" s="14" t="s">
        <v>701</v>
      </c>
      <c r="C90" t="str">
        <f t="shared" si="0"/>
        <v>"1 Sa",</v>
      </c>
    </row>
    <row r="91" spans="2:4" x14ac:dyDescent="0.2">
      <c r="B91" s="14" t="s">
        <v>702</v>
      </c>
      <c r="C91" t="str">
        <f t="shared" si="0"/>
        <v>"1 S",</v>
      </c>
    </row>
    <row r="92" spans="2:4" x14ac:dyDescent="0.2">
      <c r="B92" s="14" t="s">
        <v>703</v>
      </c>
      <c r="C92" t="str">
        <f t="shared" si="0"/>
        <v>"I Sam",</v>
      </c>
    </row>
    <row r="93" spans="2:4" x14ac:dyDescent="0.2">
      <c r="B93" s="14" t="s">
        <v>704</v>
      </c>
      <c r="C93" t="str">
        <f t="shared" si="0"/>
        <v>"I Sa",</v>
      </c>
    </row>
    <row r="94" spans="2:4" x14ac:dyDescent="0.2">
      <c r="B94" s="14" t="s">
        <v>705</v>
      </c>
      <c r="C94" t="str">
        <f t="shared" si="0"/>
        <v>"1Sam",</v>
      </c>
    </row>
    <row r="95" spans="2:4" x14ac:dyDescent="0.2">
      <c r="B95" s="14" t="s">
        <v>706</v>
      </c>
      <c r="C95" t="str">
        <f t="shared" si="0"/>
        <v>"1Sa",</v>
      </c>
    </row>
    <row r="96" spans="2:4" x14ac:dyDescent="0.2">
      <c r="B96" s="14" t="s">
        <v>707</v>
      </c>
      <c r="C96" t="str">
        <f t="shared" si="0"/>
        <v>"1S",</v>
      </c>
    </row>
    <row r="97" spans="2:4" x14ac:dyDescent="0.2">
      <c r="B97" s="14" t="s">
        <v>708</v>
      </c>
      <c r="C97" t="str">
        <f t="shared" si="0"/>
        <v>"1st Samuel",</v>
      </c>
    </row>
    <row r="98" spans="2:4" x14ac:dyDescent="0.2">
      <c r="B98" s="14" t="s">
        <v>709</v>
      </c>
      <c r="C98" t="str">
        <f t="shared" si="0"/>
        <v>"1st Sam",</v>
      </c>
    </row>
    <row r="99" spans="2:4" x14ac:dyDescent="0.2">
      <c r="B99" s="14" t="s">
        <v>710</v>
      </c>
      <c r="C99" t="str">
        <f t="shared" si="0"/>
        <v>"First Samuel",</v>
      </c>
    </row>
    <row r="100" spans="2:4" x14ac:dyDescent="0.2">
      <c r="B100" s="14" t="s">
        <v>711</v>
      </c>
      <c r="C100" t="str">
        <f t="shared" si="0"/>
        <v>"First Sam",</v>
      </c>
    </row>
    <row r="101" spans="2:4" x14ac:dyDescent="0.2">
      <c r="C101" t="str">
        <f t="shared" si="0"/>
        <v/>
      </c>
    </row>
    <row r="102" spans="2:4" x14ac:dyDescent="0.2">
      <c r="B102" s="14" t="s">
        <v>27</v>
      </c>
      <c r="C102" t="str">
        <f t="shared" ref="C102:C165" si="1">IF(B102="","",""""&amp;TRIM(SUBSTITUTE(B102,".",""))&amp;""",")</f>
        <v>"2 Samuel",</v>
      </c>
    </row>
    <row r="103" spans="2:4" x14ac:dyDescent="0.2">
      <c r="C103" t="str">
        <f t="shared" si="1"/>
        <v/>
      </c>
    </row>
    <row r="104" spans="2:4" x14ac:dyDescent="0.2">
      <c r="B104" s="14" t="s">
        <v>1037</v>
      </c>
      <c r="C104" t="str">
        <f t="shared" si="1"/>
        <v>"2 Sam",</v>
      </c>
      <c r="D104" t="str">
        <f>C104&amp;C105&amp;C106&amp;C107&amp;C108&amp;C109&amp;C110&amp;C111&amp;C112&amp;C113&amp;C114&amp;C115&amp;C116</f>
        <v>"2 Sam","2 Sm","2 Sa","2 S","II Sam","II Sa","2Sam","2Sa","2S","2nd Samuel","2nd Sam","Second Samuel","Second Sam",</v>
      </c>
    </row>
    <row r="105" spans="2:4" x14ac:dyDescent="0.2">
      <c r="B105" s="14" t="s">
        <v>712</v>
      </c>
      <c r="C105" t="str">
        <f t="shared" si="1"/>
        <v>"2 Sm",</v>
      </c>
    </row>
    <row r="106" spans="2:4" x14ac:dyDescent="0.2">
      <c r="B106" s="14" t="s">
        <v>713</v>
      </c>
      <c r="C106" t="str">
        <f t="shared" si="1"/>
        <v>"2 Sa",</v>
      </c>
    </row>
    <row r="107" spans="2:4" x14ac:dyDescent="0.2">
      <c r="B107" s="14" t="s">
        <v>714</v>
      </c>
      <c r="C107" t="str">
        <f t="shared" si="1"/>
        <v>"2 S",</v>
      </c>
    </row>
    <row r="108" spans="2:4" x14ac:dyDescent="0.2">
      <c r="B108" s="14" t="s">
        <v>715</v>
      </c>
      <c r="C108" t="str">
        <f t="shared" si="1"/>
        <v>"II Sam",</v>
      </c>
    </row>
    <row r="109" spans="2:4" x14ac:dyDescent="0.2">
      <c r="B109" s="14" t="s">
        <v>716</v>
      </c>
      <c r="C109" t="str">
        <f t="shared" si="1"/>
        <v>"II Sa",</v>
      </c>
    </row>
    <row r="110" spans="2:4" x14ac:dyDescent="0.2">
      <c r="B110" s="14" t="s">
        <v>717</v>
      </c>
      <c r="C110" t="str">
        <f t="shared" si="1"/>
        <v>"2Sam",</v>
      </c>
    </row>
    <row r="111" spans="2:4" x14ac:dyDescent="0.2">
      <c r="B111" s="14" t="s">
        <v>718</v>
      </c>
      <c r="C111" t="str">
        <f t="shared" si="1"/>
        <v>"2Sa",</v>
      </c>
    </row>
    <row r="112" spans="2:4" x14ac:dyDescent="0.2">
      <c r="B112" s="14" t="s">
        <v>719</v>
      </c>
      <c r="C112" t="str">
        <f t="shared" si="1"/>
        <v>"2S",</v>
      </c>
    </row>
    <row r="113" spans="2:4" x14ac:dyDescent="0.2">
      <c r="B113" s="14" t="s">
        <v>720</v>
      </c>
      <c r="C113" t="str">
        <f t="shared" si="1"/>
        <v>"2nd Samuel",</v>
      </c>
    </row>
    <row r="114" spans="2:4" x14ac:dyDescent="0.2">
      <c r="B114" s="14" t="s">
        <v>721</v>
      </c>
      <c r="C114" t="str">
        <f t="shared" si="1"/>
        <v>"2nd Sam",</v>
      </c>
    </row>
    <row r="115" spans="2:4" x14ac:dyDescent="0.2">
      <c r="B115" s="14" t="s">
        <v>722</v>
      </c>
      <c r="C115" t="str">
        <f t="shared" si="1"/>
        <v>"Second Samuel",</v>
      </c>
    </row>
    <row r="116" spans="2:4" x14ac:dyDescent="0.2">
      <c r="B116" s="14" t="s">
        <v>723</v>
      </c>
      <c r="C116" t="str">
        <f t="shared" si="1"/>
        <v>"Second Sam",</v>
      </c>
    </row>
    <row r="117" spans="2:4" x14ac:dyDescent="0.2">
      <c r="C117" t="str">
        <f t="shared" si="1"/>
        <v/>
      </c>
    </row>
    <row r="118" spans="2:4" x14ac:dyDescent="0.2">
      <c r="B118" s="14" t="s">
        <v>30</v>
      </c>
      <c r="C118" t="str">
        <f t="shared" si="1"/>
        <v>"1 Kings",</v>
      </c>
    </row>
    <row r="119" spans="2:4" x14ac:dyDescent="0.2">
      <c r="C119" t="str">
        <f t="shared" si="1"/>
        <v/>
      </c>
    </row>
    <row r="120" spans="2:4" x14ac:dyDescent="0.2">
      <c r="B120" s="14" t="s">
        <v>1038</v>
      </c>
      <c r="C120" t="str">
        <f t="shared" si="1"/>
        <v>"1 Kings",</v>
      </c>
      <c r="D120" t="str">
        <f>C120&amp;C121&amp;C122&amp;C123&amp;C124&amp;C125&amp;C126&amp;C127&amp;C128&amp;C129&amp;C130&amp;C131&amp;C132</f>
        <v>"1 Kings","1 Kgs","1 Ki","1Kgs","1Kin","1Ki","1K","I Kgs","I Ki","1st Kings","1st Kgs","First Kings","First Kgs",</v>
      </c>
    </row>
    <row r="121" spans="2:4" x14ac:dyDescent="0.2">
      <c r="B121" s="14" t="s">
        <v>724</v>
      </c>
      <c r="C121" t="str">
        <f t="shared" si="1"/>
        <v>"1 Kgs",</v>
      </c>
    </row>
    <row r="122" spans="2:4" x14ac:dyDescent="0.2">
      <c r="B122" s="14" t="s">
        <v>725</v>
      </c>
      <c r="C122" t="str">
        <f t="shared" si="1"/>
        <v>"1 Ki",</v>
      </c>
    </row>
    <row r="123" spans="2:4" x14ac:dyDescent="0.2">
      <c r="B123" s="14" t="s">
        <v>726</v>
      </c>
      <c r="C123" t="str">
        <f t="shared" si="1"/>
        <v>"1Kgs",</v>
      </c>
    </row>
    <row r="124" spans="2:4" x14ac:dyDescent="0.2">
      <c r="B124" s="14" t="s">
        <v>727</v>
      </c>
      <c r="C124" t="str">
        <f t="shared" si="1"/>
        <v>"1Kin",</v>
      </c>
    </row>
    <row r="125" spans="2:4" x14ac:dyDescent="0.2">
      <c r="B125" s="14" t="s">
        <v>728</v>
      </c>
      <c r="C125" t="str">
        <f t="shared" si="1"/>
        <v>"1Ki",</v>
      </c>
    </row>
    <row r="126" spans="2:4" x14ac:dyDescent="0.2">
      <c r="B126" s="14" t="s">
        <v>729</v>
      </c>
      <c r="C126" t="str">
        <f t="shared" si="1"/>
        <v>"1K",</v>
      </c>
    </row>
    <row r="127" spans="2:4" x14ac:dyDescent="0.2">
      <c r="B127" s="14" t="s">
        <v>730</v>
      </c>
      <c r="C127" t="str">
        <f t="shared" si="1"/>
        <v>"I Kgs",</v>
      </c>
    </row>
    <row r="128" spans="2:4" x14ac:dyDescent="0.2">
      <c r="B128" s="14" t="s">
        <v>731</v>
      </c>
      <c r="C128" t="str">
        <f t="shared" si="1"/>
        <v>"I Ki",</v>
      </c>
    </row>
    <row r="129" spans="2:4" x14ac:dyDescent="0.2">
      <c r="B129" s="14" t="s">
        <v>732</v>
      </c>
      <c r="C129" t="str">
        <f t="shared" si="1"/>
        <v>"1st Kings",</v>
      </c>
    </row>
    <row r="130" spans="2:4" x14ac:dyDescent="0.2">
      <c r="B130" s="14" t="s">
        <v>733</v>
      </c>
      <c r="C130" t="str">
        <f t="shared" si="1"/>
        <v>"1st Kgs",</v>
      </c>
    </row>
    <row r="131" spans="2:4" x14ac:dyDescent="0.2">
      <c r="B131" s="14" t="s">
        <v>734</v>
      </c>
      <c r="C131" t="str">
        <f t="shared" si="1"/>
        <v>"First Kings",</v>
      </c>
    </row>
    <row r="132" spans="2:4" x14ac:dyDescent="0.2">
      <c r="B132" s="14" t="s">
        <v>735</v>
      </c>
      <c r="C132" t="str">
        <f t="shared" si="1"/>
        <v>"First Kgs",</v>
      </c>
    </row>
    <row r="133" spans="2:4" x14ac:dyDescent="0.2">
      <c r="C133" t="str">
        <f t="shared" si="1"/>
        <v/>
      </c>
    </row>
    <row r="134" spans="2:4" x14ac:dyDescent="0.2">
      <c r="B134" s="14" t="s">
        <v>33</v>
      </c>
      <c r="C134" t="str">
        <f t="shared" si="1"/>
        <v>"2 Kings",</v>
      </c>
    </row>
    <row r="135" spans="2:4" x14ac:dyDescent="0.2">
      <c r="C135" t="str">
        <f t="shared" si="1"/>
        <v/>
      </c>
    </row>
    <row r="136" spans="2:4" x14ac:dyDescent="0.2">
      <c r="B136" s="14" t="s">
        <v>1039</v>
      </c>
      <c r="C136" t="str">
        <f t="shared" si="1"/>
        <v>"2 Kings",</v>
      </c>
      <c r="D136" t="str">
        <f>C136&amp;C137&amp;C138&amp;C139&amp;C140&amp;C141&amp;C142&amp;C143&amp;C144&amp;C145&amp;C146&amp;C147&amp;C148</f>
        <v>"2 Kings","2 Kgs","2 Ki","2Kgs","2Kin","2Ki","2K","II Kgs","II Ki","2nd Kings","2nd Kgs","Second Kings","Second Kgs",</v>
      </c>
    </row>
    <row r="137" spans="2:4" x14ac:dyDescent="0.2">
      <c r="B137" s="14" t="s">
        <v>736</v>
      </c>
      <c r="C137" t="str">
        <f t="shared" si="1"/>
        <v>"2 Kgs",</v>
      </c>
    </row>
    <row r="138" spans="2:4" x14ac:dyDescent="0.2">
      <c r="B138" s="14" t="s">
        <v>737</v>
      </c>
      <c r="C138" t="str">
        <f t="shared" si="1"/>
        <v>"2 Ki",</v>
      </c>
    </row>
    <row r="139" spans="2:4" x14ac:dyDescent="0.2">
      <c r="B139" s="14" t="s">
        <v>738</v>
      </c>
      <c r="C139" t="str">
        <f t="shared" si="1"/>
        <v>"2Kgs",</v>
      </c>
    </row>
    <row r="140" spans="2:4" x14ac:dyDescent="0.2">
      <c r="B140" s="14" t="s">
        <v>739</v>
      </c>
      <c r="C140" t="str">
        <f t="shared" si="1"/>
        <v>"2Kin",</v>
      </c>
    </row>
    <row r="141" spans="2:4" x14ac:dyDescent="0.2">
      <c r="B141" s="14" t="s">
        <v>740</v>
      </c>
      <c r="C141" t="str">
        <f t="shared" si="1"/>
        <v>"2Ki",</v>
      </c>
    </row>
    <row r="142" spans="2:4" x14ac:dyDescent="0.2">
      <c r="B142" s="14" t="s">
        <v>741</v>
      </c>
      <c r="C142" t="str">
        <f t="shared" si="1"/>
        <v>"2K",</v>
      </c>
    </row>
    <row r="143" spans="2:4" x14ac:dyDescent="0.2">
      <c r="B143" s="14" t="s">
        <v>742</v>
      </c>
      <c r="C143" t="str">
        <f t="shared" si="1"/>
        <v>"II Kgs",</v>
      </c>
    </row>
    <row r="144" spans="2:4" x14ac:dyDescent="0.2">
      <c r="B144" s="14" t="s">
        <v>743</v>
      </c>
      <c r="C144" t="str">
        <f t="shared" si="1"/>
        <v>"II Ki",</v>
      </c>
    </row>
    <row r="145" spans="2:4" x14ac:dyDescent="0.2">
      <c r="B145" s="14" t="s">
        <v>744</v>
      </c>
      <c r="C145" t="str">
        <f t="shared" si="1"/>
        <v>"2nd Kings",</v>
      </c>
    </row>
    <row r="146" spans="2:4" x14ac:dyDescent="0.2">
      <c r="B146" s="14" t="s">
        <v>745</v>
      </c>
      <c r="C146" t="str">
        <f t="shared" si="1"/>
        <v>"2nd Kgs",</v>
      </c>
    </row>
    <row r="147" spans="2:4" x14ac:dyDescent="0.2">
      <c r="B147" s="14" t="s">
        <v>746</v>
      </c>
      <c r="C147" t="str">
        <f t="shared" si="1"/>
        <v>"Second Kings",</v>
      </c>
    </row>
    <row r="148" spans="2:4" x14ac:dyDescent="0.2">
      <c r="B148" s="14" t="s">
        <v>747</v>
      </c>
      <c r="C148" t="str">
        <f t="shared" si="1"/>
        <v>"Second Kgs",</v>
      </c>
    </row>
    <row r="149" spans="2:4" x14ac:dyDescent="0.2">
      <c r="C149" t="str">
        <f t="shared" si="1"/>
        <v/>
      </c>
    </row>
    <row r="150" spans="2:4" x14ac:dyDescent="0.2">
      <c r="B150" s="14" t="s">
        <v>36</v>
      </c>
      <c r="C150" t="str">
        <f t="shared" si="1"/>
        <v>"1 Chronicles",</v>
      </c>
    </row>
    <row r="151" spans="2:4" x14ac:dyDescent="0.2">
      <c r="C151" t="str">
        <f t="shared" si="1"/>
        <v/>
      </c>
    </row>
    <row r="152" spans="2:4" x14ac:dyDescent="0.2">
      <c r="B152" s="14" t="s">
        <v>1040</v>
      </c>
      <c r="C152" t="str">
        <f t="shared" si="1"/>
        <v>"1 Chron",</v>
      </c>
      <c r="D152" t="str">
        <f>C152&amp;C153&amp;C154&amp;C155&amp;C156&amp;C157&amp;C158&amp;C159&amp;C160&amp;C161&amp;C162&amp;C163&amp;C164</f>
        <v>"1 Chron","1 Chr","1 Ch","1Chron","1Chr","1Ch","I Chron","I Chr","I Ch","1st Chronicles","1st Chron","First Chronicles","First Chron",</v>
      </c>
    </row>
    <row r="153" spans="2:4" x14ac:dyDescent="0.2">
      <c r="B153" s="14" t="s">
        <v>748</v>
      </c>
      <c r="C153" t="str">
        <f t="shared" si="1"/>
        <v>"1 Chr",</v>
      </c>
    </row>
    <row r="154" spans="2:4" x14ac:dyDescent="0.2">
      <c r="B154" s="14" t="s">
        <v>749</v>
      </c>
      <c r="C154" t="str">
        <f t="shared" si="1"/>
        <v>"1 Ch",</v>
      </c>
    </row>
    <row r="155" spans="2:4" x14ac:dyDescent="0.2">
      <c r="B155" s="14" t="s">
        <v>750</v>
      </c>
      <c r="C155" t="str">
        <f t="shared" si="1"/>
        <v>"1Chron",</v>
      </c>
    </row>
    <row r="156" spans="2:4" x14ac:dyDescent="0.2">
      <c r="B156" s="14" t="s">
        <v>751</v>
      </c>
      <c r="C156" t="str">
        <f t="shared" si="1"/>
        <v>"1Chr",</v>
      </c>
    </row>
    <row r="157" spans="2:4" x14ac:dyDescent="0.2">
      <c r="B157" s="14" t="s">
        <v>752</v>
      </c>
      <c r="C157" t="str">
        <f t="shared" si="1"/>
        <v>"1Ch",</v>
      </c>
    </row>
    <row r="158" spans="2:4" x14ac:dyDescent="0.2">
      <c r="B158" s="14" t="s">
        <v>753</v>
      </c>
      <c r="C158" t="str">
        <f t="shared" si="1"/>
        <v>"I Chron",</v>
      </c>
    </row>
    <row r="159" spans="2:4" x14ac:dyDescent="0.2">
      <c r="B159" s="14" t="s">
        <v>754</v>
      </c>
      <c r="C159" t="str">
        <f t="shared" si="1"/>
        <v>"I Chr",</v>
      </c>
    </row>
    <row r="160" spans="2:4" x14ac:dyDescent="0.2">
      <c r="B160" s="14" t="s">
        <v>755</v>
      </c>
      <c r="C160" t="str">
        <f t="shared" si="1"/>
        <v>"I Ch",</v>
      </c>
    </row>
    <row r="161" spans="2:4" x14ac:dyDescent="0.2">
      <c r="B161" s="14" t="s">
        <v>756</v>
      </c>
      <c r="C161" t="str">
        <f t="shared" si="1"/>
        <v>"1st Chronicles",</v>
      </c>
    </row>
    <row r="162" spans="2:4" x14ac:dyDescent="0.2">
      <c r="B162" s="14" t="s">
        <v>757</v>
      </c>
      <c r="C162" t="str">
        <f t="shared" si="1"/>
        <v>"1st Chron",</v>
      </c>
    </row>
    <row r="163" spans="2:4" x14ac:dyDescent="0.2">
      <c r="B163" s="14" t="s">
        <v>758</v>
      </c>
      <c r="C163" t="str">
        <f t="shared" si="1"/>
        <v>"First Chronicles",</v>
      </c>
    </row>
    <row r="164" spans="2:4" x14ac:dyDescent="0.2">
      <c r="B164" s="14" t="s">
        <v>759</v>
      </c>
      <c r="C164" t="str">
        <f t="shared" si="1"/>
        <v>"First Chron",</v>
      </c>
    </row>
    <row r="165" spans="2:4" x14ac:dyDescent="0.2">
      <c r="C165" t="str">
        <f t="shared" si="1"/>
        <v/>
      </c>
    </row>
    <row r="166" spans="2:4" x14ac:dyDescent="0.2">
      <c r="B166" s="14" t="s">
        <v>39</v>
      </c>
      <c r="C166" t="str">
        <f t="shared" ref="C166:C229" si="2">IF(B166="","",""""&amp;TRIM(SUBSTITUTE(B166,".",""))&amp;""",")</f>
        <v>"2 Chronicles",</v>
      </c>
    </row>
    <row r="167" spans="2:4" x14ac:dyDescent="0.2">
      <c r="C167" t="str">
        <f t="shared" si="2"/>
        <v/>
      </c>
    </row>
    <row r="168" spans="2:4" x14ac:dyDescent="0.2">
      <c r="B168" s="14" t="s">
        <v>1041</v>
      </c>
      <c r="C168" t="str">
        <f t="shared" si="2"/>
        <v>"2 Chron",</v>
      </c>
      <c r="D168" t="str">
        <f>C168&amp;C169&amp;C170&amp;C171&amp;C172&amp;C173&amp;C174&amp;C175&amp;C176&amp;C177&amp;C178&amp;C179&amp;C180</f>
        <v>"2 Chron","2 Chr","2 Ch","2Chron","2Chr","2Ch","II Chron","II Chr","II Ch","2nd Chronicles","2nd Chron","Second Chronicles","Second Chron",</v>
      </c>
    </row>
    <row r="169" spans="2:4" x14ac:dyDescent="0.2">
      <c r="B169" s="14" t="s">
        <v>760</v>
      </c>
      <c r="C169" t="str">
        <f t="shared" si="2"/>
        <v>"2 Chr",</v>
      </c>
    </row>
    <row r="170" spans="2:4" x14ac:dyDescent="0.2">
      <c r="B170" s="14" t="s">
        <v>761</v>
      </c>
      <c r="C170" t="str">
        <f t="shared" si="2"/>
        <v>"2 Ch",</v>
      </c>
    </row>
    <row r="171" spans="2:4" x14ac:dyDescent="0.2">
      <c r="B171" s="14" t="s">
        <v>762</v>
      </c>
      <c r="C171" t="str">
        <f t="shared" si="2"/>
        <v>"2Chron",</v>
      </c>
    </row>
    <row r="172" spans="2:4" x14ac:dyDescent="0.2">
      <c r="B172" s="14" t="s">
        <v>763</v>
      </c>
      <c r="C172" t="str">
        <f t="shared" si="2"/>
        <v>"2Chr",</v>
      </c>
    </row>
    <row r="173" spans="2:4" x14ac:dyDescent="0.2">
      <c r="B173" s="14" t="s">
        <v>764</v>
      </c>
      <c r="C173" t="str">
        <f t="shared" si="2"/>
        <v>"2Ch",</v>
      </c>
    </row>
    <row r="174" spans="2:4" x14ac:dyDescent="0.2">
      <c r="B174" s="14" t="s">
        <v>765</v>
      </c>
      <c r="C174" t="str">
        <f t="shared" si="2"/>
        <v>"II Chron",</v>
      </c>
    </row>
    <row r="175" spans="2:4" x14ac:dyDescent="0.2">
      <c r="B175" s="14" t="s">
        <v>766</v>
      </c>
      <c r="C175" t="str">
        <f t="shared" si="2"/>
        <v>"II Chr",</v>
      </c>
    </row>
    <row r="176" spans="2:4" x14ac:dyDescent="0.2">
      <c r="B176" s="14" t="s">
        <v>767</v>
      </c>
      <c r="C176" t="str">
        <f t="shared" si="2"/>
        <v>"II Ch",</v>
      </c>
    </row>
    <row r="177" spans="2:4" x14ac:dyDescent="0.2">
      <c r="B177" s="14" t="s">
        <v>768</v>
      </c>
      <c r="C177" t="str">
        <f t="shared" si="2"/>
        <v>"2nd Chronicles",</v>
      </c>
    </row>
    <row r="178" spans="2:4" x14ac:dyDescent="0.2">
      <c r="B178" s="14" t="s">
        <v>769</v>
      </c>
      <c r="C178" t="str">
        <f t="shared" si="2"/>
        <v>"2nd Chron",</v>
      </c>
    </row>
    <row r="179" spans="2:4" x14ac:dyDescent="0.2">
      <c r="B179" s="14" t="s">
        <v>770</v>
      </c>
      <c r="C179" t="str">
        <f t="shared" si="2"/>
        <v>"Second Chronicles",</v>
      </c>
    </row>
    <row r="180" spans="2:4" x14ac:dyDescent="0.2">
      <c r="B180" s="14" t="s">
        <v>771</v>
      </c>
      <c r="C180" t="str">
        <f t="shared" si="2"/>
        <v>"Second Chron",</v>
      </c>
    </row>
    <row r="181" spans="2:4" x14ac:dyDescent="0.2">
      <c r="C181" t="str">
        <f t="shared" si="2"/>
        <v/>
      </c>
    </row>
    <row r="182" spans="2:4" x14ac:dyDescent="0.2">
      <c r="B182" s="14" t="s">
        <v>41</v>
      </c>
      <c r="C182" t="str">
        <f t="shared" si="2"/>
        <v>"Ezra",</v>
      </c>
    </row>
    <row r="183" spans="2:4" x14ac:dyDescent="0.2">
      <c r="C183" t="str">
        <f t="shared" si="2"/>
        <v/>
      </c>
    </row>
    <row r="184" spans="2:4" x14ac:dyDescent="0.2">
      <c r="B184" s="14" t="s">
        <v>1042</v>
      </c>
      <c r="C184" t="str">
        <f t="shared" si="2"/>
        <v>"Ezra",</v>
      </c>
      <c r="D184" t="str">
        <f>C185&amp;C186</f>
        <v>"Ezr","Ez",</v>
      </c>
    </row>
    <row r="185" spans="2:4" x14ac:dyDescent="0.2">
      <c r="B185" s="14" t="s">
        <v>772</v>
      </c>
      <c r="C185" t="str">
        <f t="shared" si="2"/>
        <v>"Ezr",</v>
      </c>
    </row>
    <row r="186" spans="2:4" x14ac:dyDescent="0.2">
      <c r="B186" s="14" t="s">
        <v>773</v>
      </c>
      <c r="C186" t="str">
        <f t="shared" si="2"/>
        <v>"Ez",</v>
      </c>
    </row>
    <row r="187" spans="2:4" x14ac:dyDescent="0.2">
      <c r="C187" t="str">
        <f t="shared" si="2"/>
        <v/>
      </c>
    </row>
    <row r="188" spans="2:4" x14ac:dyDescent="0.2">
      <c r="B188" s="14" t="s">
        <v>44</v>
      </c>
      <c r="C188" t="str">
        <f t="shared" si="2"/>
        <v>"Nehemiah",</v>
      </c>
    </row>
    <row r="189" spans="2:4" x14ac:dyDescent="0.2">
      <c r="C189" t="str">
        <f t="shared" si="2"/>
        <v/>
      </c>
    </row>
    <row r="190" spans="2:4" x14ac:dyDescent="0.2">
      <c r="B190" s="14" t="s">
        <v>1043</v>
      </c>
      <c r="C190" t="str">
        <f t="shared" si="2"/>
        <v>"Neh",</v>
      </c>
    </row>
    <row r="191" spans="2:4" x14ac:dyDescent="0.2">
      <c r="B191" s="14" t="s">
        <v>774</v>
      </c>
      <c r="C191" t="str">
        <f t="shared" si="2"/>
        <v>"Ne",</v>
      </c>
    </row>
    <row r="192" spans="2:4" x14ac:dyDescent="0.2">
      <c r="C192" t="str">
        <f t="shared" si="2"/>
        <v/>
      </c>
    </row>
    <row r="193" spans="2:4" x14ac:dyDescent="0.2">
      <c r="B193" s="14" t="s">
        <v>411</v>
      </c>
      <c r="C193" t="str">
        <f t="shared" si="2"/>
        <v>"Esther",</v>
      </c>
    </row>
    <row r="194" spans="2:4" x14ac:dyDescent="0.2">
      <c r="C194" t="str">
        <f t="shared" si="2"/>
        <v/>
      </c>
    </row>
    <row r="195" spans="2:4" x14ac:dyDescent="0.2">
      <c r="B195" s="14" t="s">
        <v>1044</v>
      </c>
      <c r="C195" t="str">
        <f t="shared" si="2"/>
        <v>"Est",</v>
      </c>
      <c r="D195" t="str">
        <f>C195&amp;C196&amp;C197</f>
        <v>"Est","Esth","Es",</v>
      </c>
    </row>
    <row r="196" spans="2:4" x14ac:dyDescent="0.2">
      <c r="B196" s="14" t="s">
        <v>775</v>
      </c>
      <c r="C196" t="str">
        <f t="shared" si="2"/>
        <v>"Esth",</v>
      </c>
    </row>
    <row r="197" spans="2:4" x14ac:dyDescent="0.2">
      <c r="B197" s="14" t="s">
        <v>776</v>
      </c>
      <c r="C197" t="str">
        <f t="shared" si="2"/>
        <v>"Es",</v>
      </c>
    </row>
    <row r="198" spans="2:4" x14ac:dyDescent="0.2">
      <c r="C198" t="str">
        <f t="shared" si="2"/>
        <v/>
      </c>
    </row>
    <row r="199" spans="2:4" x14ac:dyDescent="0.2">
      <c r="B199" s="14" t="s">
        <v>48</v>
      </c>
      <c r="C199" t="str">
        <f t="shared" si="2"/>
        <v>"Job",</v>
      </c>
    </row>
    <row r="200" spans="2:4" x14ac:dyDescent="0.2">
      <c r="C200" t="str">
        <f t="shared" si="2"/>
        <v/>
      </c>
    </row>
    <row r="201" spans="2:4" x14ac:dyDescent="0.2">
      <c r="B201" s="14" t="s">
        <v>1045</v>
      </c>
      <c r="C201" t="str">
        <f t="shared" si="2"/>
        <v>"Job",</v>
      </c>
    </row>
    <row r="202" spans="2:4" x14ac:dyDescent="0.2">
      <c r="B202" s="14" t="s">
        <v>777</v>
      </c>
      <c r="C202" t="str">
        <f t="shared" si="2"/>
        <v>"Jb",</v>
      </c>
    </row>
    <row r="203" spans="2:4" x14ac:dyDescent="0.2">
      <c r="C203" t="str">
        <f t="shared" si="2"/>
        <v/>
      </c>
    </row>
    <row r="204" spans="2:4" x14ac:dyDescent="0.2">
      <c r="B204" s="14" t="s">
        <v>51</v>
      </c>
      <c r="C204" t="str">
        <f t="shared" si="2"/>
        <v>"Psalms",</v>
      </c>
    </row>
    <row r="205" spans="2:4" x14ac:dyDescent="0.2">
      <c r="C205" t="str">
        <f t="shared" si="2"/>
        <v/>
      </c>
    </row>
    <row r="206" spans="2:4" x14ac:dyDescent="0.2">
      <c r="B206" s="14" t="s">
        <v>1046</v>
      </c>
      <c r="C206" t="str">
        <f t="shared" si="2"/>
        <v>"Ps",</v>
      </c>
    </row>
    <row r="207" spans="2:4" x14ac:dyDescent="0.2">
      <c r="B207" s="14" t="s">
        <v>778</v>
      </c>
      <c r="C207" t="str">
        <f t="shared" si="2"/>
        <v>"Psalm",</v>
      </c>
      <c r="D207" t="str">
        <f>C207&amp;C208&amp;C209&amp;C210&amp;C211</f>
        <v>"Psalm","Pslm","Psa","Psm","Pss",</v>
      </c>
    </row>
    <row r="208" spans="2:4" x14ac:dyDescent="0.2">
      <c r="B208" s="14" t="s">
        <v>779</v>
      </c>
      <c r="C208" t="str">
        <f t="shared" si="2"/>
        <v>"Pslm",</v>
      </c>
    </row>
    <row r="209" spans="2:3" x14ac:dyDescent="0.2">
      <c r="B209" s="14" t="s">
        <v>780</v>
      </c>
      <c r="C209" t="str">
        <f t="shared" si="2"/>
        <v>"Psa",</v>
      </c>
    </row>
    <row r="210" spans="2:3" x14ac:dyDescent="0.2">
      <c r="B210" s="14" t="s">
        <v>781</v>
      </c>
      <c r="C210" t="str">
        <f t="shared" si="2"/>
        <v>"Psm",</v>
      </c>
    </row>
    <row r="211" spans="2:3" x14ac:dyDescent="0.2">
      <c r="B211" s="14" t="s">
        <v>782</v>
      </c>
      <c r="C211" t="str">
        <f t="shared" si="2"/>
        <v>"Pss",</v>
      </c>
    </row>
    <row r="212" spans="2:3" x14ac:dyDescent="0.2">
      <c r="C212" t="str">
        <f t="shared" si="2"/>
        <v/>
      </c>
    </row>
    <row r="213" spans="2:3" x14ac:dyDescent="0.2">
      <c r="B213" s="14" t="s">
        <v>54</v>
      </c>
      <c r="C213" t="str">
        <f t="shared" si="2"/>
        <v>"Proverbs",</v>
      </c>
    </row>
    <row r="214" spans="2:3" x14ac:dyDescent="0.2">
      <c r="C214" t="str">
        <f t="shared" si="2"/>
        <v/>
      </c>
    </row>
    <row r="215" spans="2:3" x14ac:dyDescent="0.2">
      <c r="B215" s="14" t="s">
        <v>1047</v>
      </c>
      <c r="C215" t="str">
        <f t="shared" si="2"/>
        <v>"Prov",</v>
      </c>
    </row>
    <row r="216" spans="2:3" x14ac:dyDescent="0.2">
      <c r="B216" s="14" t="s">
        <v>783</v>
      </c>
      <c r="C216" t="str">
        <f t="shared" si="2"/>
        <v>"Pro",</v>
      </c>
    </row>
    <row r="217" spans="2:3" x14ac:dyDescent="0.2">
      <c r="B217" s="14" t="s">
        <v>784</v>
      </c>
      <c r="C217" t="str">
        <f t="shared" si="2"/>
        <v>"Prv",</v>
      </c>
    </row>
    <row r="218" spans="2:3" x14ac:dyDescent="0.2">
      <c r="B218" s="14" t="s">
        <v>785</v>
      </c>
      <c r="C218" t="str">
        <f t="shared" si="2"/>
        <v>"Pr",</v>
      </c>
    </row>
    <row r="219" spans="2:3" x14ac:dyDescent="0.2">
      <c r="C219" t="str">
        <f t="shared" si="2"/>
        <v/>
      </c>
    </row>
    <row r="220" spans="2:3" x14ac:dyDescent="0.2">
      <c r="B220" s="14" t="s">
        <v>57</v>
      </c>
      <c r="C220" t="str">
        <f t="shared" si="2"/>
        <v>"Ecclesiastes",</v>
      </c>
    </row>
    <row r="221" spans="2:3" x14ac:dyDescent="0.2">
      <c r="C221" t="str">
        <f t="shared" si="2"/>
        <v/>
      </c>
    </row>
    <row r="222" spans="2:3" x14ac:dyDescent="0.2">
      <c r="B222" s="14" t="s">
        <v>1048</v>
      </c>
      <c r="C222" t="str">
        <f t="shared" si="2"/>
        <v>"Eccles",</v>
      </c>
    </row>
    <row r="223" spans="2:3" x14ac:dyDescent="0.2">
      <c r="B223" s="14" t="s">
        <v>786</v>
      </c>
      <c r="C223" t="str">
        <f t="shared" si="2"/>
        <v>"Eccle",</v>
      </c>
    </row>
    <row r="224" spans="2:3" x14ac:dyDescent="0.2">
      <c r="B224" s="14" t="s">
        <v>787</v>
      </c>
      <c r="C224" t="str">
        <f t="shared" si="2"/>
        <v>"Ecc",</v>
      </c>
    </row>
    <row r="225" spans="2:3" x14ac:dyDescent="0.2">
      <c r="B225" s="14" t="s">
        <v>788</v>
      </c>
      <c r="C225" t="str">
        <f t="shared" si="2"/>
        <v>"Ec",</v>
      </c>
    </row>
    <row r="226" spans="2:3" x14ac:dyDescent="0.2">
      <c r="B226" s="14" t="s">
        <v>789</v>
      </c>
      <c r="C226" t="str">
        <f t="shared" si="2"/>
        <v>"Qoh",</v>
      </c>
    </row>
    <row r="227" spans="2:3" x14ac:dyDescent="0.2">
      <c r="C227" t="str">
        <f t="shared" si="2"/>
        <v/>
      </c>
    </row>
    <row r="228" spans="2:3" x14ac:dyDescent="0.2">
      <c r="B228" s="14" t="s">
        <v>60</v>
      </c>
      <c r="C228" t="str">
        <f t="shared" si="2"/>
        <v>"Song of Solomon",</v>
      </c>
    </row>
    <row r="229" spans="2:3" x14ac:dyDescent="0.2">
      <c r="C229" t="str">
        <f t="shared" si="2"/>
        <v/>
      </c>
    </row>
    <row r="230" spans="2:3" x14ac:dyDescent="0.2">
      <c r="B230" s="14" t="s">
        <v>1049</v>
      </c>
      <c r="C230" t="str">
        <f t="shared" ref="C230:C293" si="3">IF(B230="","",""""&amp;TRIM(SUBSTITUTE(B230,".",""))&amp;""",")</f>
        <v>"Song",</v>
      </c>
    </row>
    <row r="231" spans="2:3" x14ac:dyDescent="0.2">
      <c r="B231" s="14" t="s">
        <v>790</v>
      </c>
      <c r="C231" t="str">
        <f t="shared" si="3"/>
        <v>"Song of Songs",</v>
      </c>
    </row>
    <row r="232" spans="2:3" x14ac:dyDescent="0.2">
      <c r="B232" s="14" t="s">
        <v>791</v>
      </c>
      <c r="C232" t="str">
        <f t="shared" si="3"/>
        <v>"SOS",</v>
      </c>
    </row>
    <row r="233" spans="2:3" x14ac:dyDescent="0.2">
      <c r="B233" s="14" t="s">
        <v>792</v>
      </c>
      <c r="C233" t="str">
        <f t="shared" si="3"/>
        <v>"So",</v>
      </c>
    </row>
    <row r="234" spans="2:3" x14ac:dyDescent="0.2">
      <c r="B234" s="14" t="s">
        <v>793</v>
      </c>
      <c r="C234" t="str">
        <f t="shared" si="3"/>
        <v>"Canticle of Canticles",</v>
      </c>
    </row>
    <row r="235" spans="2:3" x14ac:dyDescent="0.2">
      <c r="B235" s="14" t="s">
        <v>794</v>
      </c>
      <c r="C235" t="str">
        <f t="shared" si="3"/>
        <v>"Canticles",</v>
      </c>
    </row>
    <row r="236" spans="2:3" x14ac:dyDescent="0.2">
      <c r="B236" s="14" t="s">
        <v>795</v>
      </c>
      <c r="C236" t="str">
        <f t="shared" si="3"/>
        <v>"Cant",</v>
      </c>
    </row>
    <row r="237" spans="2:3" x14ac:dyDescent="0.2">
      <c r="C237" t="str">
        <f t="shared" si="3"/>
        <v/>
      </c>
    </row>
    <row r="238" spans="2:3" x14ac:dyDescent="0.2">
      <c r="B238" s="14" t="s">
        <v>63</v>
      </c>
      <c r="C238" t="str">
        <f t="shared" si="3"/>
        <v>"Isaiah",</v>
      </c>
    </row>
    <row r="239" spans="2:3" x14ac:dyDescent="0.2">
      <c r="C239" t="str">
        <f t="shared" si="3"/>
        <v/>
      </c>
    </row>
    <row r="240" spans="2:3" x14ac:dyDescent="0.2">
      <c r="B240" s="14" t="s">
        <v>1050</v>
      </c>
      <c r="C240" t="str">
        <f t="shared" si="3"/>
        <v>"Isa",</v>
      </c>
    </row>
    <row r="241" spans="2:4" x14ac:dyDescent="0.2">
      <c r="B241" s="14" t="s">
        <v>796</v>
      </c>
      <c r="C241" t="str">
        <f t="shared" si="3"/>
        <v>"Is",</v>
      </c>
    </row>
    <row r="242" spans="2:4" x14ac:dyDescent="0.2">
      <c r="C242" t="str">
        <f t="shared" si="3"/>
        <v/>
      </c>
    </row>
    <row r="243" spans="2:4" x14ac:dyDescent="0.2">
      <c r="B243" s="14" t="s">
        <v>66</v>
      </c>
      <c r="C243" t="str">
        <f t="shared" si="3"/>
        <v>"Jeremiah",</v>
      </c>
    </row>
    <row r="244" spans="2:4" x14ac:dyDescent="0.2">
      <c r="C244" t="str">
        <f t="shared" si="3"/>
        <v/>
      </c>
    </row>
    <row r="245" spans="2:4" x14ac:dyDescent="0.2">
      <c r="B245" s="14" t="s">
        <v>1051</v>
      </c>
      <c r="C245" t="str">
        <f t="shared" si="3"/>
        <v>"Jer",</v>
      </c>
      <c r="D245" t="str">
        <f>C245&amp;C246&amp;C247</f>
        <v>"Jer","Je","Jr",</v>
      </c>
    </row>
    <row r="246" spans="2:4" x14ac:dyDescent="0.2">
      <c r="B246" s="14" t="s">
        <v>797</v>
      </c>
      <c r="C246" t="str">
        <f t="shared" si="3"/>
        <v>"Je",</v>
      </c>
    </row>
    <row r="247" spans="2:4" x14ac:dyDescent="0.2">
      <c r="B247" s="14" t="s">
        <v>798</v>
      </c>
      <c r="C247" t="str">
        <f t="shared" si="3"/>
        <v>"Jr",</v>
      </c>
    </row>
    <row r="248" spans="2:4" x14ac:dyDescent="0.2">
      <c r="C248" t="str">
        <f t="shared" si="3"/>
        <v/>
      </c>
    </row>
    <row r="249" spans="2:4" x14ac:dyDescent="0.2">
      <c r="B249" s="14" t="s">
        <v>69</v>
      </c>
      <c r="C249" t="str">
        <f t="shared" si="3"/>
        <v>"Lamentations",</v>
      </c>
    </row>
    <row r="250" spans="2:4" x14ac:dyDescent="0.2">
      <c r="C250" t="str">
        <f t="shared" si="3"/>
        <v/>
      </c>
    </row>
    <row r="251" spans="2:4" x14ac:dyDescent="0.2">
      <c r="B251" s="14" t="s">
        <v>1052</v>
      </c>
      <c r="C251" t="str">
        <f t="shared" si="3"/>
        <v>"Lam",</v>
      </c>
    </row>
    <row r="252" spans="2:4" x14ac:dyDescent="0.2">
      <c r="B252" s="14" t="s">
        <v>799</v>
      </c>
      <c r="C252" t="str">
        <f t="shared" si="3"/>
        <v>"La",</v>
      </c>
    </row>
    <row r="253" spans="2:4" x14ac:dyDescent="0.2">
      <c r="C253" t="str">
        <f t="shared" si="3"/>
        <v/>
      </c>
    </row>
    <row r="254" spans="2:4" x14ac:dyDescent="0.2">
      <c r="B254" s="14" t="s">
        <v>72</v>
      </c>
      <c r="C254" t="str">
        <f t="shared" si="3"/>
        <v>"Ezekiel",</v>
      </c>
    </row>
    <row r="255" spans="2:4" x14ac:dyDescent="0.2">
      <c r="C255" t="str">
        <f t="shared" si="3"/>
        <v/>
      </c>
    </row>
    <row r="256" spans="2:4" x14ac:dyDescent="0.2">
      <c r="B256" s="14" t="s">
        <v>1053</v>
      </c>
      <c r="C256" t="str">
        <f t="shared" si="3"/>
        <v>"Ezek",</v>
      </c>
      <c r="D256" t="str">
        <f>C256&amp;C257&amp;C258</f>
        <v>"Ezek","Eze","Ezk",</v>
      </c>
    </row>
    <row r="257" spans="2:4" x14ac:dyDescent="0.2">
      <c r="B257" s="14" t="s">
        <v>800</v>
      </c>
      <c r="C257" t="str">
        <f t="shared" si="3"/>
        <v>"Eze",</v>
      </c>
    </row>
    <row r="258" spans="2:4" x14ac:dyDescent="0.2">
      <c r="B258" s="14" t="s">
        <v>801</v>
      </c>
      <c r="C258" t="str">
        <f t="shared" si="3"/>
        <v>"Ezk",</v>
      </c>
    </row>
    <row r="259" spans="2:4" x14ac:dyDescent="0.2">
      <c r="C259" t="str">
        <f t="shared" si="3"/>
        <v/>
      </c>
    </row>
    <row r="260" spans="2:4" x14ac:dyDescent="0.2">
      <c r="B260" s="14" t="s">
        <v>75</v>
      </c>
      <c r="C260" t="str">
        <f t="shared" si="3"/>
        <v>"Daniel",</v>
      </c>
    </row>
    <row r="261" spans="2:4" x14ac:dyDescent="0.2">
      <c r="C261" t="str">
        <f t="shared" si="3"/>
        <v/>
      </c>
    </row>
    <row r="262" spans="2:4" x14ac:dyDescent="0.2">
      <c r="B262" s="14" t="s">
        <v>1054</v>
      </c>
      <c r="C262" t="str">
        <f t="shared" si="3"/>
        <v>"Dan",</v>
      </c>
      <c r="D262" t="str">
        <f>C262&amp;C263&amp;C264</f>
        <v>"Dan","Da","Dn",</v>
      </c>
    </row>
    <row r="263" spans="2:4" x14ac:dyDescent="0.2">
      <c r="B263" s="14" t="s">
        <v>802</v>
      </c>
      <c r="C263" t="str">
        <f t="shared" si="3"/>
        <v>"Da",</v>
      </c>
    </row>
    <row r="264" spans="2:4" x14ac:dyDescent="0.2">
      <c r="B264" s="14" t="s">
        <v>803</v>
      </c>
      <c r="C264" t="str">
        <f t="shared" si="3"/>
        <v>"Dn",</v>
      </c>
    </row>
    <row r="265" spans="2:4" x14ac:dyDescent="0.2">
      <c r="C265" t="str">
        <f t="shared" si="3"/>
        <v/>
      </c>
    </row>
    <row r="266" spans="2:4" x14ac:dyDescent="0.2">
      <c r="B266" s="14" t="s">
        <v>78</v>
      </c>
      <c r="C266" t="str">
        <f t="shared" si="3"/>
        <v>"Hosea",</v>
      </c>
    </row>
    <row r="267" spans="2:4" x14ac:dyDescent="0.2">
      <c r="C267" t="str">
        <f t="shared" si="3"/>
        <v/>
      </c>
    </row>
    <row r="268" spans="2:4" x14ac:dyDescent="0.2">
      <c r="B268" s="14" t="s">
        <v>1055</v>
      </c>
      <c r="C268" t="str">
        <f t="shared" si="3"/>
        <v>"Hos",</v>
      </c>
    </row>
    <row r="269" spans="2:4" x14ac:dyDescent="0.2">
      <c r="B269" s="14" t="s">
        <v>804</v>
      </c>
      <c r="C269" t="str">
        <f t="shared" si="3"/>
        <v>"Ho",</v>
      </c>
    </row>
    <row r="270" spans="2:4" x14ac:dyDescent="0.2">
      <c r="C270" t="str">
        <f t="shared" si="3"/>
        <v/>
      </c>
    </row>
    <row r="271" spans="2:4" x14ac:dyDescent="0.2">
      <c r="B271" s="14" t="s">
        <v>80</v>
      </c>
      <c r="C271" t="str">
        <f t="shared" si="3"/>
        <v>"Joel",</v>
      </c>
    </row>
    <row r="272" spans="2:4" x14ac:dyDescent="0.2">
      <c r="C272" t="str">
        <f t="shared" si="3"/>
        <v/>
      </c>
    </row>
    <row r="273" spans="2:3" x14ac:dyDescent="0.2">
      <c r="B273" s="14" t="s">
        <v>1056</v>
      </c>
      <c r="C273" t="str">
        <f t="shared" si="3"/>
        <v>"Joel",</v>
      </c>
    </row>
    <row r="274" spans="2:3" x14ac:dyDescent="0.2">
      <c r="B274" s="14" t="s">
        <v>805</v>
      </c>
      <c r="C274" t="str">
        <f t="shared" si="3"/>
        <v>"Jl",</v>
      </c>
    </row>
    <row r="275" spans="2:3" x14ac:dyDescent="0.2">
      <c r="C275" t="str">
        <f t="shared" si="3"/>
        <v/>
      </c>
    </row>
    <row r="276" spans="2:3" x14ac:dyDescent="0.2">
      <c r="B276" s="14" t="s">
        <v>82</v>
      </c>
      <c r="C276" t="str">
        <f t="shared" si="3"/>
        <v>"Amos",</v>
      </c>
    </row>
    <row r="277" spans="2:3" x14ac:dyDescent="0.2">
      <c r="C277" t="str">
        <f t="shared" si="3"/>
        <v/>
      </c>
    </row>
    <row r="278" spans="2:3" x14ac:dyDescent="0.2">
      <c r="B278" s="14" t="s">
        <v>1057</v>
      </c>
      <c r="C278" t="str">
        <f t="shared" si="3"/>
        <v>"Amos",</v>
      </c>
    </row>
    <row r="279" spans="2:3" x14ac:dyDescent="0.2">
      <c r="B279" s="14" t="s">
        <v>806</v>
      </c>
      <c r="C279" t="str">
        <f t="shared" si="3"/>
        <v>"Am",</v>
      </c>
    </row>
    <row r="280" spans="2:3" x14ac:dyDescent="0.2">
      <c r="C280" t="str">
        <f t="shared" si="3"/>
        <v/>
      </c>
    </row>
    <row r="281" spans="2:3" x14ac:dyDescent="0.2">
      <c r="B281" s="14" t="s">
        <v>85</v>
      </c>
      <c r="C281" t="str">
        <f t="shared" si="3"/>
        <v>"Obadiah",</v>
      </c>
    </row>
    <row r="282" spans="2:3" x14ac:dyDescent="0.2">
      <c r="C282" t="str">
        <f t="shared" si="3"/>
        <v/>
      </c>
    </row>
    <row r="283" spans="2:3" x14ac:dyDescent="0.2">
      <c r="B283" s="14" t="s">
        <v>1058</v>
      </c>
      <c r="C283" t="str">
        <f t="shared" si="3"/>
        <v>"Obad",</v>
      </c>
    </row>
    <row r="284" spans="2:3" x14ac:dyDescent="0.2">
      <c r="B284" s="14" t="s">
        <v>807</v>
      </c>
      <c r="C284" t="str">
        <f t="shared" si="3"/>
        <v>"Ob",</v>
      </c>
    </row>
    <row r="285" spans="2:3" x14ac:dyDescent="0.2">
      <c r="C285" t="str">
        <f t="shared" si="3"/>
        <v/>
      </c>
    </row>
    <row r="286" spans="2:3" x14ac:dyDescent="0.2">
      <c r="B286" s="14" t="s">
        <v>87</v>
      </c>
      <c r="C286" t="str">
        <f t="shared" si="3"/>
        <v>"Jonah",</v>
      </c>
    </row>
    <row r="287" spans="2:3" x14ac:dyDescent="0.2">
      <c r="C287" t="str">
        <f t="shared" si="3"/>
        <v/>
      </c>
    </row>
    <row r="288" spans="2:3" x14ac:dyDescent="0.2">
      <c r="B288" s="14" t="s">
        <v>1059</v>
      </c>
      <c r="C288" t="str">
        <f t="shared" si="3"/>
        <v>"Jonah",</v>
      </c>
    </row>
    <row r="289" spans="2:3" x14ac:dyDescent="0.2">
      <c r="B289" s="14" t="s">
        <v>808</v>
      </c>
      <c r="C289" t="str">
        <f t="shared" si="3"/>
        <v>"Jnh",</v>
      </c>
    </row>
    <row r="290" spans="2:3" x14ac:dyDescent="0.2">
      <c r="B290" s="14" t="s">
        <v>809</v>
      </c>
      <c r="C290" t="str">
        <f t="shared" si="3"/>
        <v>"Jon",</v>
      </c>
    </row>
    <row r="291" spans="2:3" x14ac:dyDescent="0.2">
      <c r="C291" t="str">
        <f t="shared" si="3"/>
        <v/>
      </c>
    </row>
    <row r="292" spans="2:3" x14ac:dyDescent="0.2">
      <c r="B292" s="14" t="s">
        <v>90</v>
      </c>
      <c r="C292" t="str">
        <f t="shared" si="3"/>
        <v>"Micah",</v>
      </c>
    </row>
    <row r="293" spans="2:3" x14ac:dyDescent="0.2">
      <c r="C293" t="str">
        <f t="shared" si="3"/>
        <v/>
      </c>
    </row>
    <row r="294" spans="2:3" x14ac:dyDescent="0.2">
      <c r="B294" s="14" t="s">
        <v>1060</v>
      </c>
      <c r="C294" t="str">
        <f t="shared" ref="C294:C357" si="4">IF(B294="","",""""&amp;TRIM(SUBSTITUTE(B294,".",""))&amp;""",")</f>
        <v>"Mic",</v>
      </c>
    </row>
    <row r="295" spans="2:3" x14ac:dyDescent="0.2">
      <c r="B295" s="14" t="s">
        <v>810</v>
      </c>
      <c r="C295" t="str">
        <f t="shared" si="4"/>
        <v>"Mc",</v>
      </c>
    </row>
    <row r="296" spans="2:3" x14ac:dyDescent="0.2">
      <c r="C296" t="str">
        <f t="shared" si="4"/>
        <v/>
      </c>
    </row>
    <row r="297" spans="2:3" x14ac:dyDescent="0.2">
      <c r="B297" s="14" t="s">
        <v>93</v>
      </c>
      <c r="C297" t="str">
        <f t="shared" si="4"/>
        <v>"Nahum",</v>
      </c>
    </row>
    <row r="298" spans="2:3" x14ac:dyDescent="0.2">
      <c r="C298" t="str">
        <f t="shared" si="4"/>
        <v/>
      </c>
    </row>
    <row r="299" spans="2:3" x14ac:dyDescent="0.2">
      <c r="B299" s="14" t="s">
        <v>1061</v>
      </c>
      <c r="C299" t="str">
        <f t="shared" si="4"/>
        <v>"Nah",</v>
      </c>
    </row>
    <row r="300" spans="2:3" x14ac:dyDescent="0.2">
      <c r="B300" s="14" t="s">
        <v>811</v>
      </c>
      <c r="C300" t="str">
        <f t="shared" si="4"/>
        <v>"Na",</v>
      </c>
    </row>
    <row r="301" spans="2:3" x14ac:dyDescent="0.2">
      <c r="C301" t="str">
        <f t="shared" si="4"/>
        <v/>
      </c>
    </row>
    <row r="302" spans="2:3" x14ac:dyDescent="0.2">
      <c r="B302" s="14" t="s">
        <v>96</v>
      </c>
      <c r="C302" t="str">
        <f t="shared" si="4"/>
        <v>"Habakkuk",</v>
      </c>
    </row>
    <row r="303" spans="2:3" x14ac:dyDescent="0.2">
      <c r="C303" t="str">
        <f t="shared" si="4"/>
        <v/>
      </c>
    </row>
    <row r="304" spans="2:3" x14ac:dyDescent="0.2">
      <c r="B304" s="14" t="s">
        <v>1062</v>
      </c>
      <c r="C304" t="str">
        <f t="shared" si="4"/>
        <v>"Hab",</v>
      </c>
    </row>
    <row r="305" spans="2:4" x14ac:dyDescent="0.2">
      <c r="B305" s="14" t="s">
        <v>812</v>
      </c>
      <c r="C305" t="str">
        <f t="shared" si="4"/>
        <v>"Hb",</v>
      </c>
    </row>
    <row r="306" spans="2:4" x14ac:dyDescent="0.2">
      <c r="C306" t="str">
        <f t="shared" si="4"/>
        <v/>
      </c>
    </row>
    <row r="307" spans="2:4" x14ac:dyDescent="0.2">
      <c r="B307" s="14" t="s">
        <v>99</v>
      </c>
      <c r="C307" t="str">
        <f t="shared" si="4"/>
        <v>"Zephaniah",</v>
      </c>
    </row>
    <row r="308" spans="2:4" x14ac:dyDescent="0.2">
      <c r="C308" t="str">
        <f t="shared" si="4"/>
        <v/>
      </c>
    </row>
    <row r="309" spans="2:4" x14ac:dyDescent="0.2">
      <c r="B309" s="14" t="s">
        <v>1063</v>
      </c>
      <c r="C309" t="str">
        <f t="shared" si="4"/>
        <v>"Zeph",</v>
      </c>
      <c r="D309" t="str">
        <f>C309&amp;C310&amp;C311</f>
        <v>"Zeph","Zep","Zp",</v>
      </c>
    </row>
    <row r="310" spans="2:4" x14ac:dyDescent="0.2">
      <c r="B310" s="14" t="s">
        <v>813</v>
      </c>
      <c r="C310" t="str">
        <f t="shared" si="4"/>
        <v>"Zep",</v>
      </c>
    </row>
    <row r="311" spans="2:4" x14ac:dyDescent="0.2">
      <c r="B311" s="14" t="s">
        <v>814</v>
      </c>
      <c r="C311" t="str">
        <f t="shared" si="4"/>
        <v>"Zp",</v>
      </c>
    </row>
    <row r="312" spans="2:4" x14ac:dyDescent="0.2">
      <c r="C312" t="str">
        <f t="shared" si="4"/>
        <v/>
      </c>
    </row>
    <row r="313" spans="2:4" x14ac:dyDescent="0.2">
      <c r="B313" s="14" t="s">
        <v>102</v>
      </c>
      <c r="C313" t="str">
        <f t="shared" si="4"/>
        <v>"Haggai",</v>
      </c>
    </row>
    <row r="314" spans="2:4" x14ac:dyDescent="0.2">
      <c r="C314" t="str">
        <f t="shared" si="4"/>
        <v/>
      </c>
    </row>
    <row r="315" spans="2:4" x14ac:dyDescent="0.2">
      <c r="B315" s="14" t="s">
        <v>1064</v>
      </c>
      <c r="C315" t="str">
        <f t="shared" si="4"/>
        <v>"Hag",</v>
      </c>
    </row>
    <row r="316" spans="2:4" x14ac:dyDescent="0.2">
      <c r="B316" s="14" t="s">
        <v>815</v>
      </c>
      <c r="C316" t="str">
        <f t="shared" si="4"/>
        <v>"Hg",</v>
      </c>
    </row>
    <row r="317" spans="2:4" x14ac:dyDescent="0.2">
      <c r="C317" t="str">
        <f t="shared" si="4"/>
        <v/>
      </c>
    </row>
    <row r="318" spans="2:4" x14ac:dyDescent="0.2">
      <c r="B318" s="14" t="s">
        <v>105</v>
      </c>
      <c r="C318" t="str">
        <f t="shared" si="4"/>
        <v>"Zechariah",</v>
      </c>
    </row>
    <row r="319" spans="2:4" x14ac:dyDescent="0.2">
      <c r="C319" t="str">
        <f t="shared" si="4"/>
        <v/>
      </c>
    </row>
    <row r="320" spans="2:4" x14ac:dyDescent="0.2">
      <c r="B320" s="14" t="s">
        <v>1065</v>
      </c>
      <c r="C320" t="str">
        <f t="shared" si="4"/>
        <v>"Zech",</v>
      </c>
      <c r="D320" t="str">
        <f>C320&amp;C321&amp;C322</f>
        <v>"Zech","Zec","Zc",</v>
      </c>
    </row>
    <row r="321" spans="2:3" x14ac:dyDescent="0.2">
      <c r="B321" s="14" t="s">
        <v>816</v>
      </c>
      <c r="C321" t="str">
        <f t="shared" si="4"/>
        <v>"Zec",</v>
      </c>
    </row>
    <row r="322" spans="2:3" x14ac:dyDescent="0.2">
      <c r="B322" s="14" t="s">
        <v>817</v>
      </c>
      <c r="C322" t="str">
        <f t="shared" si="4"/>
        <v>"Zc",</v>
      </c>
    </row>
    <row r="323" spans="2:3" x14ac:dyDescent="0.2">
      <c r="C323" t="str">
        <f t="shared" si="4"/>
        <v/>
      </c>
    </row>
    <row r="324" spans="2:3" x14ac:dyDescent="0.2">
      <c r="B324" s="14" t="s">
        <v>108</v>
      </c>
      <c r="C324" t="str">
        <f t="shared" si="4"/>
        <v>"Malachi",</v>
      </c>
    </row>
    <row r="325" spans="2:3" x14ac:dyDescent="0.2">
      <c r="C325" t="str">
        <f t="shared" si="4"/>
        <v/>
      </c>
    </row>
    <row r="326" spans="2:3" x14ac:dyDescent="0.2">
      <c r="B326" s="14" t="s">
        <v>1066</v>
      </c>
      <c r="C326" t="str">
        <f t="shared" si="4"/>
        <v>"Mal",</v>
      </c>
    </row>
    <row r="327" spans="2:3" x14ac:dyDescent="0.2">
      <c r="B327" s="14" t="s">
        <v>818</v>
      </c>
      <c r="C327" t="str">
        <f t="shared" si="4"/>
        <v>"Ml",</v>
      </c>
    </row>
    <row r="328" spans="2:3" x14ac:dyDescent="0.2">
      <c r="C328" t="str">
        <f t="shared" si="4"/>
        <v/>
      </c>
    </row>
    <row r="329" spans="2:3" x14ac:dyDescent="0.2">
      <c r="B329" s="14" t="s">
        <v>111</v>
      </c>
      <c r="C329" t="str">
        <f t="shared" si="4"/>
        <v>"Matthew",</v>
      </c>
    </row>
    <row r="330" spans="2:3" x14ac:dyDescent="0.2">
      <c r="C330" t="str">
        <f t="shared" si="4"/>
        <v/>
      </c>
    </row>
    <row r="331" spans="2:3" x14ac:dyDescent="0.2">
      <c r="B331" s="14" t="s">
        <v>1067</v>
      </c>
      <c r="C331" t="str">
        <f t="shared" si="4"/>
        <v>"Matt",</v>
      </c>
    </row>
    <row r="332" spans="2:3" x14ac:dyDescent="0.2">
      <c r="B332" s="14" t="s">
        <v>819</v>
      </c>
      <c r="C332" t="str">
        <f t="shared" si="4"/>
        <v>"Mt",</v>
      </c>
    </row>
    <row r="333" spans="2:3" x14ac:dyDescent="0.2">
      <c r="C333" t="str">
        <f t="shared" si="4"/>
        <v/>
      </c>
    </row>
    <row r="334" spans="2:3" x14ac:dyDescent="0.2">
      <c r="B334" s="14" t="s">
        <v>113</v>
      </c>
      <c r="C334" t="str">
        <f t="shared" si="4"/>
        <v>"Mark",</v>
      </c>
    </row>
    <row r="335" spans="2:3" x14ac:dyDescent="0.2">
      <c r="C335" t="str">
        <f t="shared" si="4"/>
        <v/>
      </c>
    </row>
    <row r="336" spans="2:3" x14ac:dyDescent="0.2">
      <c r="B336" s="14" t="s">
        <v>1068</v>
      </c>
      <c r="C336" t="str">
        <f t="shared" si="4"/>
        <v>"Mark",</v>
      </c>
    </row>
    <row r="337" spans="2:4" x14ac:dyDescent="0.2">
      <c r="B337" s="14" t="s">
        <v>820</v>
      </c>
      <c r="C337" t="str">
        <f t="shared" si="4"/>
        <v>"Mrk",</v>
      </c>
    </row>
    <row r="338" spans="2:4" x14ac:dyDescent="0.2">
      <c r="B338" s="14" t="s">
        <v>821</v>
      </c>
      <c r="C338" t="str">
        <f t="shared" si="4"/>
        <v>"Mar",</v>
      </c>
    </row>
    <row r="339" spans="2:4" x14ac:dyDescent="0.2">
      <c r="B339" s="14" t="s">
        <v>822</v>
      </c>
      <c r="C339" t="str">
        <f t="shared" si="4"/>
        <v>"Mk",</v>
      </c>
    </row>
    <row r="340" spans="2:4" x14ac:dyDescent="0.2">
      <c r="B340" s="14" t="s">
        <v>823</v>
      </c>
      <c r="C340" t="str">
        <f t="shared" si="4"/>
        <v>"Mr",</v>
      </c>
    </row>
    <row r="341" spans="2:4" x14ac:dyDescent="0.2">
      <c r="C341" t="str">
        <f t="shared" si="4"/>
        <v/>
      </c>
    </row>
    <row r="342" spans="2:4" x14ac:dyDescent="0.2">
      <c r="B342" s="14" t="s">
        <v>115</v>
      </c>
      <c r="C342" t="str">
        <f t="shared" si="4"/>
        <v>"Luke",</v>
      </c>
    </row>
    <row r="343" spans="2:4" x14ac:dyDescent="0.2">
      <c r="C343" t="str">
        <f t="shared" si="4"/>
        <v/>
      </c>
    </row>
    <row r="344" spans="2:4" x14ac:dyDescent="0.2">
      <c r="B344" s="14" t="s">
        <v>1069</v>
      </c>
      <c r="C344" t="str">
        <f t="shared" si="4"/>
        <v>"Luke",</v>
      </c>
    </row>
    <row r="345" spans="2:4" x14ac:dyDescent="0.2">
      <c r="B345" s="14" t="s">
        <v>824</v>
      </c>
      <c r="C345" t="str">
        <f t="shared" si="4"/>
        <v>"Luk",</v>
      </c>
    </row>
    <row r="346" spans="2:4" x14ac:dyDescent="0.2">
      <c r="B346" s="14" t="s">
        <v>825</v>
      </c>
      <c r="C346" t="str">
        <f t="shared" si="4"/>
        <v>"Lk",</v>
      </c>
    </row>
    <row r="347" spans="2:4" x14ac:dyDescent="0.2">
      <c r="C347" t="str">
        <f t="shared" si="4"/>
        <v/>
      </c>
    </row>
    <row r="348" spans="2:4" x14ac:dyDescent="0.2">
      <c r="B348" s="14" t="s">
        <v>117</v>
      </c>
      <c r="C348" t="str">
        <f t="shared" si="4"/>
        <v>"John",</v>
      </c>
    </row>
    <row r="349" spans="2:4" x14ac:dyDescent="0.2">
      <c r="C349" t="str">
        <f t="shared" si="4"/>
        <v/>
      </c>
    </row>
    <row r="350" spans="2:4" x14ac:dyDescent="0.2">
      <c r="B350" s="14" t="s">
        <v>1070</v>
      </c>
      <c r="C350" t="str">
        <f t="shared" si="4"/>
        <v>"John",</v>
      </c>
    </row>
    <row r="351" spans="2:4" x14ac:dyDescent="0.2">
      <c r="B351" s="14" t="s">
        <v>826</v>
      </c>
      <c r="C351" t="str">
        <f t="shared" si="4"/>
        <v>"Joh",</v>
      </c>
      <c r="D351" t="str">
        <f>C351&amp;C352&amp;C353</f>
        <v>"Joh","Jhn","Jn",</v>
      </c>
    </row>
    <row r="352" spans="2:4" x14ac:dyDescent="0.2">
      <c r="B352" s="14" t="s">
        <v>827</v>
      </c>
      <c r="C352" t="str">
        <f t="shared" si="4"/>
        <v>"Jhn",</v>
      </c>
    </row>
    <row r="353" spans="2:4" x14ac:dyDescent="0.2">
      <c r="B353" s="14" t="s">
        <v>828</v>
      </c>
      <c r="C353" t="str">
        <f t="shared" si="4"/>
        <v>"Jn",</v>
      </c>
    </row>
    <row r="354" spans="2:4" x14ac:dyDescent="0.2">
      <c r="C354" t="str">
        <f t="shared" si="4"/>
        <v/>
      </c>
    </row>
    <row r="355" spans="2:4" x14ac:dyDescent="0.2">
      <c r="B355" s="14" t="s">
        <v>119</v>
      </c>
      <c r="C355" t="str">
        <f t="shared" si="4"/>
        <v>"Acts",</v>
      </c>
    </row>
    <row r="356" spans="2:4" x14ac:dyDescent="0.2">
      <c r="C356" t="str">
        <f t="shared" si="4"/>
        <v/>
      </c>
    </row>
    <row r="357" spans="2:4" x14ac:dyDescent="0.2">
      <c r="B357" s="14" t="s">
        <v>1071</v>
      </c>
      <c r="C357" t="str">
        <f t="shared" si="4"/>
        <v>"Acts",</v>
      </c>
    </row>
    <row r="358" spans="2:4" x14ac:dyDescent="0.2">
      <c r="B358" s="14" t="s">
        <v>829</v>
      </c>
      <c r="C358" t="str">
        <f t="shared" ref="C358:C421" si="5">IF(B358="","",""""&amp;TRIM(SUBSTITUTE(B358,".",""))&amp;""",")</f>
        <v>"Act",</v>
      </c>
    </row>
    <row r="359" spans="2:4" x14ac:dyDescent="0.2">
      <c r="B359" s="14" t="s">
        <v>830</v>
      </c>
      <c r="C359" t="str">
        <f t="shared" si="5"/>
        <v>"Ac",</v>
      </c>
    </row>
    <row r="360" spans="2:4" x14ac:dyDescent="0.2">
      <c r="C360" t="str">
        <f t="shared" si="5"/>
        <v/>
      </c>
    </row>
    <row r="361" spans="2:4" x14ac:dyDescent="0.2">
      <c r="B361" s="14" t="s">
        <v>122</v>
      </c>
      <c r="C361" t="str">
        <f t="shared" si="5"/>
        <v>"Romans",</v>
      </c>
    </row>
    <row r="362" spans="2:4" x14ac:dyDescent="0.2">
      <c r="C362" t="str">
        <f t="shared" si="5"/>
        <v/>
      </c>
    </row>
    <row r="363" spans="2:4" x14ac:dyDescent="0.2">
      <c r="B363" s="14" t="s">
        <v>1072</v>
      </c>
      <c r="C363" t="str">
        <f t="shared" si="5"/>
        <v>"Rom",</v>
      </c>
      <c r="D363" t="str">
        <f>C363&amp;C364&amp;C365</f>
        <v>"Rom","Ro","Rm",</v>
      </c>
    </row>
    <row r="364" spans="2:4" x14ac:dyDescent="0.2">
      <c r="B364" s="14" t="s">
        <v>831</v>
      </c>
      <c r="C364" t="str">
        <f t="shared" si="5"/>
        <v>"Ro",</v>
      </c>
    </row>
    <row r="365" spans="2:4" x14ac:dyDescent="0.2">
      <c r="B365" s="14" t="s">
        <v>832</v>
      </c>
      <c r="C365" t="str">
        <f t="shared" si="5"/>
        <v>"Rm",</v>
      </c>
    </row>
    <row r="366" spans="2:4" x14ac:dyDescent="0.2">
      <c r="C366" t="str">
        <f t="shared" si="5"/>
        <v/>
      </c>
    </row>
    <row r="367" spans="2:4" x14ac:dyDescent="0.2">
      <c r="B367" s="14" t="s">
        <v>125</v>
      </c>
      <c r="C367" t="str">
        <f t="shared" si="5"/>
        <v>"1 Corinthians",</v>
      </c>
    </row>
    <row r="368" spans="2:4" x14ac:dyDescent="0.2">
      <c r="C368" t="str">
        <f t="shared" si="5"/>
        <v/>
      </c>
    </row>
    <row r="369" spans="2:4" x14ac:dyDescent="0.2">
      <c r="B369" s="14" t="s">
        <v>1073</v>
      </c>
      <c r="C369" t="str">
        <f t="shared" si="5"/>
        <v>"1 Cor",</v>
      </c>
      <c r="D369" t="str">
        <f>C369&amp;C370&amp;C371&amp;C372&amp;C373&amp;C374&amp;C375&amp;C376&amp;C377&amp;C378&amp;C37</f>
        <v>"1 Cor","1 Co","I Cor","I Co","1Cor","1Co","I Corinthians","1Corinthians","1st Corinthians","First Corinthians",</v>
      </c>
    </row>
    <row r="370" spans="2:4" x14ac:dyDescent="0.2">
      <c r="B370" s="14" t="s">
        <v>833</v>
      </c>
      <c r="C370" t="str">
        <f t="shared" si="5"/>
        <v>"1 Co",</v>
      </c>
    </row>
    <row r="371" spans="2:4" x14ac:dyDescent="0.2">
      <c r="B371" s="14" t="s">
        <v>834</v>
      </c>
      <c r="C371" t="str">
        <f t="shared" si="5"/>
        <v>"I Cor",</v>
      </c>
    </row>
    <row r="372" spans="2:4" x14ac:dyDescent="0.2">
      <c r="B372" s="14" t="s">
        <v>835</v>
      </c>
      <c r="C372" t="str">
        <f t="shared" si="5"/>
        <v>"I Co",</v>
      </c>
    </row>
    <row r="373" spans="2:4" x14ac:dyDescent="0.2">
      <c r="B373" s="14" t="s">
        <v>836</v>
      </c>
      <c r="C373" t="str">
        <f t="shared" si="5"/>
        <v>"1Cor",</v>
      </c>
    </row>
    <row r="374" spans="2:4" x14ac:dyDescent="0.2">
      <c r="B374" s="14" t="s">
        <v>837</v>
      </c>
      <c r="C374" t="str">
        <f t="shared" si="5"/>
        <v>"1Co",</v>
      </c>
    </row>
    <row r="375" spans="2:4" x14ac:dyDescent="0.2">
      <c r="B375" s="14" t="s">
        <v>838</v>
      </c>
      <c r="C375" t="str">
        <f t="shared" si="5"/>
        <v>"I Corinthians",</v>
      </c>
    </row>
    <row r="376" spans="2:4" x14ac:dyDescent="0.2">
      <c r="B376" s="14" t="s">
        <v>839</v>
      </c>
      <c r="C376" t="str">
        <f t="shared" si="5"/>
        <v>"1Corinthians",</v>
      </c>
    </row>
    <row r="377" spans="2:4" x14ac:dyDescent="0.2">
      <c r="B377" s="14" t="s">
        <v>840</v>
      </c>
      <c r="C377" t="str">
        <f t="shared" si="5"/>
        <v>"1st Corinthians",</v>
      </c>
    </row>
    <row r="378" spans="2:4" x14ac:dyDescent="0.2">
      <c r="B378" s="14" t="s">
        <v>841</v>
      </c>
      <c r="C378" t="str">
        <f t="shared" si="5"/>
        <v>"First Corinthians",</v>
      </c>
    </row>
    <row r="379" spans="2:4" x14ac:dyDescent="0.2">
      <c r="C379" t="str">
        <f t="shared" si="5"/>
        <v/>
      </c>
    </row>
    <row r="380" spans="2:4" x14ac:dyDescent="0.2">
      <c r="B380" s="14" t="s">
        <v>128</v>
      </c>
      <c r="C380" t="str">
        <f t="shared" si="5"/>
        <v>"2 Corinthians",</v>
      </c>
    </row>
    <row r="381" spans="2:4" x14ac:dyDescent="0.2">
      <c r="C381" t="str">
        <f t="shared" si="5"/>
        <v/>
      </c>
    </row>
    <row r="382" spans="2:4" x14ac:dyDescent="0.2">
      <c r="B382" s="14" t="s">
        <v>1074</v>
      </c>
      <c r="C382" t="str">
        <f t="shared" si="5"/>
        <v>"2 Cor",</v>
      </c>
      <c r="D382" t="str">
        <f>C382&amp;C383&amp;C384&amp;C385&amp;C386&amp;C387&amp;C388&amp;C389&amp;C390&amp;C391</f>
        <v>"2 Cor","2 Co","II Cor","II Co","2Cor","2Co","II Corinthians","2Corinthians","2nd Corinthians","Second Corinthians",</v>
      </c>
    </row>
    <row r="383" spans="2:4" x14ac:dyDescent="0.2">
      <c r="B383" s="14" t="s">
        <v>842</v>
      </c>
      <c r="C383" t="str">
        <f t="shared" si="5"/>
        <v>"2 Co",</v>
      </c>
    </row>
    <row r="384" spans="2:4" x14ac:dyDescent="0.2">
      <c r="B384" s="14" t="s">
        <v>843</v>
      </c>
      <c r="C384" t="str">
        <f t="shared" si="5"/>
        <v>"II Cor",</v>
      </c>
    </row>
    <row r="385" spans="2:3" x14ac:dyDescent="0.2">
      <c r="B385" s="14" t="s">
        <v>844</v>
      </c>
      <c r="C385" t="str">
        <f t="shared" si="5"/>
        <v>"II Co",</v>
      </c>
    </row>
    <row r="386" spans="2:3" x14ac:dyDescent="0.2">
      <c r="B386" s="14" t="s">
        <v>845</v>
      </c>
      <c r="C386" t="str">
        <f t="shared" si="5"/>
        <v>"2Cor",</v>
      </c>
    </row>
    <row r="387" spans="2:3" x14ac:dyDescent="0.2">
      <c r="B387" s="14" t="s">
        <v>846</v>
      </c>
      <c r="C387" t="str">
        <f t="shared" si="5"/>
        <v>"2Co",</v>
      </c>
    </row>
    <row r="388" spans="2:3" x14ac:dyDescent="0.2">
      <c r="B388" s="14" t="s">
        <v>847</v>
      </c>
      <c r="C388" t="str">
        <f t="shared" si="5"/>
        <v>"II Corinthians",</v>
      </c>
    </row>
    <row r="389" spans="2:3" x14ac:dyDescent="0.2">
      <c r="B389" s="14" t="s">
        <v>848</v>
      </c>
      <c r="C389" t="str">
        <f t="shared" si="5"/>
        <v>"2Corinthians",</v>
      </c>
    </row>
    <row r="390" spans="2:3" x14ac:dyDescent="0.2">
      <c r="B390" s="14" t="s">
        <v>849</v>
      </c>
      <c r="C390" t="str">
        <f t="shared" si="5"/>
        <v>"2nd Corinthians",</v>
      </c>
    </row>
    <row r="391" spans="2:3" x14ac:dyDescent="0.2">
      <c r="B391" s="14" t="s">
        <v>850</v>
      </c>
      <c r="C391" t="str">
        <f t="shared" si="5"/>
        <v>"Second Corinthians",</v>
      </c>
    </row>
    <row r="392" spans="2:3" x14ac:dyDescent="0.2">
      <c r="C392" t="str">
        <f t="shared" si="5"/>
        <v/>
      </c>
    </row>
    <row r="393" spans="2:3" x14ac:dyDescent="0.2">
      <c r="B393" s="14" t="s">
        <v>131</v>
      </c>
      <c r="C393" t="str">
        <f t="shared" si="5"/>
        <v>"Galatians",</v>
      </c>
    </row>
    <row r="394" spans="2:3" x14ac:dyDescent="0.2">
      <c r="C394" t="str">
        <f t="shared" si="5"/>
        <v/>
      </c>
    </row>
    <row r="395" spans="2:3" x14ac:dyDescent="0.2">
      <c r="B395" s="14" t="s">
        <v>1075</v>
      </c>
      <c r="C395" t="str">
        <f t="shared" si="5"/>
        <v>"Gal",</v>
      </c>
    </row>
    <row r="396" spans="2:3" x14ac:dyDescent="0.2">
      <c r="B396" s="14" t="s">
        <v>851</v>
      </c>
      <c r="C396" t="str">
        <f t="shared" si="5"/>
        <v>"Ga",</v>
      </c>
    </row>
    <row r="397" spans="2:3" x14ac:dyDescent="0.2">
      <c r="C397" t="str">
        <f t="shared" si="5"/>
        <v/>
      </c>
    </row>
    <row r="398" spans="2:3" x14ac:dyDescent="0.2">
      <c r="B398" s="14" t="s">
        <v>134</v>
      </c>
      <c r="C398" t="str">
        <f t="shared" si="5"/>
        <v>"Ephesians",</v>
      </c>
    </row>
    <row r="399" spans="2:3" x14ac:dyDescent="0.2">
      <c r="C399" t="str">
        <f t="shared" si="5"/>
        <v/>
      </c>
    </row>
    <row r="400" spans="2:3" x14ac:dyDescent="0.2">
      <c r="B400" s="14" t="s">
        <v>1076</v>
      </c>
      <c r="C400" t="str">
        <f t="shared" si="5"/>
        <v>"Eph",</v>
      </c>
    </row>
    <row r="401" spans="2:4" x14ac:dyDescent="0.2">
      <c r="B401" s="14" t="s">
        <v>852</v>
      </c>
      <c r="C401" t="str">
        <f t="shared" si="5"/>
        <v>"Ephes",</v>
      </c>
    </row>
    <row r="402" spans="2:4" x14ac:dyDescent="0.2">
      <c r="C402" t="str">
        <f t="shared" si="5"/>
        <v/>
      </c>
    </row>
    <row r="403" spans="2:4" x14ac:dyDescent="0.2">
      <c r="B403" s="14" t="s">
        <v>137</v>
      </c>
      <c r="C403" t="str">
        <f t="shared" si="5"/>
        <v>"Philippians",</v>
      </c>
    </row>
    <row r="404" spans="2:4" x14ac:dyDescent="0.2">
      <c r="C404" t="str">
        <f t="shared" si="5"/>
        <v/>
      </c>
    </row>
    <row r="405" spans="2:4" x14ac:dyDescent="0.2">
      <c r="B405" s="14" t="s">
        <v>1077</v>
      </c>
      <c r="C405" t="str">
        <f t="shared" si="5"/>
        <v>"Phil",</v>
      </c>
    </row>
    <row r="406" spans="2:4" x14ac:dyDescent="0.2">
      <c r="B406" s="14" t="s">
        <v>853</v>
      </c>
      <c r="C406" t="str">
        <f t="shared" si="5"/>
        <v>"Php",</v>
      </c>
    </row>
    <row r="407" spans="2:4" x14ac:dyDescent="0.2">
      <c r="B407" s="14" t="s">
        <v>854</v>
      </c>
      <c r="C407" t="str">
        <f t="shared" si="5"/>
        <v>"Pp",</v>
      </c>
    </row>
    <row r="408" spans="2:4" x14ac:dyDescent="0.2">
      <c r="C408" t="str">
        <f t="shared" si="5"/>
        <v/>
      </c>
    </row>
    <row r="409" spans="2:4" x14ac:dyDescent="0.2">
      <c r="B409" s="14" t="s">
        <v>140</v>
      </c>
      <c r="C409" t="str">
        <f t="shared" si="5"/>
        <v>"Colossians",</v>
      </c>
    </row>
    <row r="410" spans="2:4" x14ac:dyDescent="0.2">
      <c r="C410" t="str">
        <f t="shared" si="5"/>
        <v/>
      </c>
    </row>
    <row r="411" spans="2:4" x14ac:dyDescent="0.2">
      <c r="B411" s="14" t="s">
        <v>1078</v>
      </c>
      <c r="C411" t="str">
        <f t="shared" si="5"/>
        <v>"Col",</v>
      </c>
    </row>
    <row r="412" spans="2:4" x14ac:dyDescent="0.2">
      <c r="B412" s="14" t="s">
        <v>855</v>
      </c>
      <c r="C412" t="str">
        <f t="shared" si="5"/>
        <v>"Co",</v>
      </c>
    </row>
    <row r="413" spans="2:4" x14ac:dyDescent="0.2">
      <c r="C413" t="str">
        <f t="shared" si="5"/>
        <v/>
      </c>
    </row>
    <row r="414" spans="2:4" x14ac:dyDescent="0.2">
      <c r="B414" s="14" t="s">
        <v>143</v>
      </c>
      <c r="C414" t="str">
        <f t="shared" si="5"/>
        <v>"1 Thessalonians",</v>
      </c>
    </row>
    <row r="415" spans="2:4" x14ac:dyDescent="0.2">
      <c r="C415" t="str">
        <f t="shared" si="5"/>
        <v/>
      </c>
    </row>
    <row r="416" spans="2:4" x14ac:dyDescent="0.2">
      <c r="B416" s="14" t="s">
        <v>1079</v>
      </c>
      <c r="C416" t="str">
        <f t="shared" si="5"/>
        <v>"1 Thess",</v>
      </c>
      <c r="D416" t="str">
        <f>C416&amp;C417&amp;C418&amp;C419&amp;C420&amp;C421&amp;C422&amp;C423&amp;C424&amp;C425&amp;C426&amp;C427&amp;C428&amp;C429&amp;C430</f>
        <v>"1 Thess","1 Thes","1 Th","I Thessalonians","I Thess","I Thes","I Th","1Thessalonians","1Thess","1Thes","1Th","1st Thessalonians","1st Thess","First Thessalonians","First Thess",</v>
      </c>
    </row>
    <row r="417" spans="2:3" x14ac:dyDescent="0.2">
      <c r="B417" s="14" t="s">
        <v>856</v>
      </c>
      <c r="C417" t="str">
        <f t="shared" si="5"/>
        <v>"1 Thes",</v>
      </c>
    </row>
    <row r="418" spans="2:3" x14ac:dyDescent="0.2">
      <c r="B418" s="14" t="s">
        <v>857</v>
      </c>
      <c r="C418" t="str">
        <f t="shared" si="5"/>
        <v>"1 Th",</v>
      </c>
    </row>
    <row r="419" spans="2:3" x14ac:dyDescent="0.2">
      <c r="B419" s="14" t="s">
        <v>858</v>
      </c>
      <c r="C419" t="str">
        <f t="shared" si="5"/>
        <v>"I Thessalonians",</v>
      </c>
    </row>
    <row r="420" spans="2:3" x14ac:dyDescent="0.2">
      <c r="B420" s="14" t="s">
        <v>859</v>
      </c>
      <c r="C420" t="str">
        <f t="shared" si="5"/>
        <v>"I Thess",</v>
      </c>
    </row>
    <row r="421" spans="2:3" x14ac:dyDescent="0.2">
      <c r="B421" s="14" t="s">
        <v>860</v>
      </c>
      <c r="C421" t="str">
        <f t="shared" si="5"/>
        <v>"I Thes",</v>
      </c>
    </row>
    <row r="422" spans="2:3" x14ac:dyDescent="0.2">
      <c r="B422" s="14" t="s">
        <v>861</v>
      </c>
      <c r="C422" t="str">
        <f t="shared" ref="C422:C485" si="6">IF(B422="","",""""&amp;TRIM(SUBSTITUTE(B422,".",""))&amp;""",")</f>
        <v>"I Th",</v>
      </c>
    </row>
    <row r="423" spans="2:3" x14ac:dyDescent="0.2">
      <c r="B423" s="14" t="s">
        <v>862</v>
      </c>
      <c r="C423" t="str">
        <f t="shared" si="6"/>
        <v>"1Thessalonians",</v>
      </c>
    </row>
    <row r="424" spans="2:3" x14ac:dyDescent="0.2">
      <c r="B424" s="14" t="s">
        <v>863</v>
      </c>
      <c r="C424" t="str">
        <f t="shared" si="6"/>
        <v>"1Thess",</v>
      </c>
    </row>
    <row r="425" spans="2:3" x14ac:dyDescent="0.2">
      <c r="B425" s="14" t="s">
        <v>864</v>
      </c>
      <c r="C425" t="str">
        <f t="shared" si="6"/>
        <v>"1Thes",</v>
      </c>
    </row>
    <row r="426" spans="2:3" x14ac:dyDescent="0.2">
      <c r="B426" s="14" t="s">
        <v>865</v>
      </c>
      <c r="C426" t="str">
        <f t="shared" si="6"/>
        <v>"1Th",</v>
      </c>
    </row>
    <row r="427" spans="2:3" x14ac:dyDescent="0.2">
      <c r="B427" s="14" t="s">
        <v>866</v>
      </c>
      <c r="C427" t="str">
        <f t="shared" si="6"/>
        <v>"1st Thessalonians",</v>
      </c>
    </row>
    <row r="428" spans="2:3" x14ac:dyDescent="0.2">
      <c r="B428" s="14" t="s">
        <v>867</v>
      </c>
      <c r="C428" t="str">
        <f t="shared" si="6"/>
        <v>"1st Thess",</v>
      </c>
    </row>
    <row r="429" spans="2:3" x14ac:dyDescent="0.2">
      <c r="B429" s="14" t="s">
        <v>868</v>
      </c>
      <c r="C429" t="str">
        <f t="shared" si="6"/>
        <v>"First Thessalonians",</v>
      </c>
    </row>
    <row r="430" spans="2:3" x14ac:dyDescent="0.2">
      <c r="B430" s="14" t="s">
        <v>869</v>
      </c>
      <c r="C430" t="str">
        <f t="shared" si="6"/>
        <v>"First Thess",</v>
      </c>
    </row>
    <row r="431" spans="2:3" x14ac:dyDescent="0.2">
      <c r="C431" t="str">
        <f t="shared" si="6"/>
        <v/>
      </c>
    </row>
    <row r="432" spans="2:3" x14ac:dyDescent="0.2">
      <c r="B432" s="14" t="s">
        <v>146</v>
      </c>
      <c r="C432" t="str">
        <f t="shared" si="6"/>
        <v>"2 Thessalonians",</v>
      </c>
    </row>
    <row r="433" spans="2:4" x14ac:dyDescent="0.2">
      <c r="C433" t="str">
        <f t="shared" si="6"/>
        <v/>
      </c>
    </row>
    <row r="434" spans="2:4" x14ac:dyDescent="0.2">
      <c r="B434" s="14" t="s">
        <v>1080</v>
      </c>
      <c r="C434" t="str">
        <f t="shared" si="6"/>
        <v>"2 Thess",</v>
      </c>
      <c r="D434" t="str">
        <f>C434&amp;C435&amp;C436&amp;C437&amp;C438&amp;C439&amp;C440&amp;C441&amp;C442&amp;C443&amp;C444&amp;C445&amp;C446&amp;C447&amp;C448</f>
        <v>"2 Thess","2 Thes","2 Th","II Thessalonians","II Thess","II Thes","II Th","2Thessalonians","2Thess","2Thes","2Th","2nd Thessalonians","2nd Thess","Second Thessalonians","Second Thess",</v>
      </c>
    </row>
    <row r="435" spans="2:4" x14ac:dyDescent="0.2">
      <c r="B435" s="14" t="s">
        <v>870</v>
      </c>
      <c r="C435" t="str">
        <f t="shared" si="6"/>
        <v>"2 Thes",</v>
      </c>
    </row>
    <row r="436" spans="2:4" x14ac:dyDescent="0.2">
      <c r="B436" s="14" t="s">
        <v>871</v>
      </c>
      <c r="C436" t="str">
        <f t="shared" si="6"/>
        <v>"2 Th",</v>
      </c>
    </row>
    <row r="437" spans="2:4" x14ac:dyDescent="0.2">
      <c r="B437" s="14" t="s">
        <v>872</v>
      </c>
      <c r="C437" t="str">
        <f t="shared" si="6"/>
        <v>"II Thessalonians",</v>
      </c>
    </row>
    <row r="438" spans="2:4" x14ac:dyDescent="0.2">
      <c r="B438" s="14" t="s">
        <v>873</v>
      </c>
      <c r="C438" t="str">
        <f t="shared" si="6"/>
        <v>"II Thess",</v>
      </c>
    </row>
    <row r="439" spans="2:4" x14ac:dyDescent="0.2">
      <c r="B439" s="14" t="s">
        <v>874</v>
      </c>
      <c r="C439" t="str">
        <f t="shared" si="6"/>
        <v>"II Thes",</v>
      </c>
    </row>
    <row r="440" spans="2:4" x14ac:dyDescent="0.2">
      <c r="B440" s="14" t="s">
        <v>875</v>
      </c>
      <c r="C440" t="str">
        <f t="shared" si="6"/>
        <v>"II Th",</v>
      </c>
    </row>
    <row r="441" spans="2:4" x14ac:dyDescent="0.2">
      <c r="B441" s="14" t="s">
        <v>876</v>
      </c>
      <c r="C441" t="str">
        <f t="shared" si="6"/>
        <v>"2Thessalonians",</v>
      </c>
    </row>
    <row r="442" spans="2:4" x14ac:dyDescent="0.2">
      <c r="B442" s="14" t="s">
        <v>877</v>
      </c>
      <c r="C442" t="str">
        <f t="shared" si="6"/>
        <v>"2Thess",</v>
      </c>
    </row>
    <row r="443" spans="2:4" x14ac:dyDescent="0.2">
      <c r="B443" s="14" t="s">
        <v>878</v>
      </c>
      <c r="C443" t="str">
        <f t="shared" si="6"/>
        <v>"2Thes",</v>
      </c>
    </row>
    <row r="444" spans="2:4" x14ac:dyDescent="0.2">
      <c r="B444" s="14" t="s">
        <v>879</v>
      </c>
      <c r="C444" t="str">
        <f t="shared" si="6"/>
        <v>"2Th",</v>
      </c>
    </row>
    <row r="445" spans="2:4" x14ac:dyDescent="0.2">
      <c r="B445" s="14" t="s">
        <v>880</v>
      </c>
      <c r="C445" t="str">
        <f t="shared" si="6"/>
        <v>"2nd Thessalonians",</v>
      </c>
    </row>
    <row r="446" spans="2:4" x14ac:dyDescent="0.2">
      <c r="B446" s="14" t="s">
        <v>881</v>
      </c>
      <c r="C446" t="str">
        <f t="shared" si="6"/>
        <v>"2nd Thess",</v>
      </c>
    </row>
    <row r="447" spans="2:4" x14ac:dyDescent="0.2">
      <c r="B447" s="14" t="s">
        <v>882</v>
      </c>
      <c r="C447" t="str">
        <f t="shared" si="6"/>
        <v>"Second Thessalonians",</v>
      </c>
    </row>
    <row r="448" spans="2:4" x14ac:dyDescent="0.2">
      <c r="B448" s="14" t="s">
        <v>883</v>
      </c>
      <c r="C448" t="str">
        <f t="shared" si="6"/>
        <v>"Second Thess",</v>
      </c>
    </row>
    <row r="449" spans="2:4" x14ac:dyDescent="0.2">
      <c r="C449" t="str">
        <f t="shared" si="6"/>
        <v/>
      </c>
    </row>
    <row r="450" spans="2:4" x14ac:dyDescent="0.2">
      <c r="B450" s="14" t="s">
        <v>149</v>
      </c>
      <c r="C450" t="str">
        <f t="shared" si="6"/>
        <v>"1 Timothy",</v>
      </c>
    </row>
    <row r="451" spans="2:4" x14ac:dyDescent="0.2">
      <c r="C451" t="str">
        <f t="shared" si="6"/>
        <v/>
      </c>
    </row>
    <row r="452" spans="2:4" x14ac:dyDescent="0.2">
      <c r="B452" s="14" t="s">
        <v>1081</v>
      </c>
      <c r="C452" t="str">
        <f t="shared" si="6"/>
        <v>"1 Tim",</v>
      </c>
      <c r="D452" t="str">
        <f>C452&amp;C453&amp;C454&amp;C455&amp;C456&amp;C457&amp;C458&amp;C459&amp;C460&amp;C461&amp;C462&amp;C463</f>
        <v>"1 Tim","1 Ti","I Timothy","I Tim","I Ti","1Timothy","1Tim","1Ti","1st Timothy","1st Tim","First Timothy","First Tim",</v>
      </c>
    </row>
    <row r="453" spans="2:4" x14ac:dyDescent="0.2">
      <c r="B453" s="14" t="s">
        <v>884</v>
      </c>
      <c r="C453" t="str">
        <f t="shared" si="6"/>
        <v>"1 Ti",</v>
      </c>
    </row>
    <row r="454" spans="2:4" x14ac:dyDescent="0.2">
      <c r="B454" s="14" t="s">
        <v>885</v>
      </c>
      <c r="C454" t="str">
        <f t="shared" si="6"/>
        <v>"I Timothy",</v>
      </c>
    </row>
    <row r="455" spans="2:4" x14ac:dyDescent="0.2">
      <c r="B455" s="14" t="s">
        <v>886</v>
      </c>
      <c r="C455" t="str">
        <f t="shared" si="6"/>
        <v>"I Tim",</v>
      </c>
    </row>
    <row r="456" spans="2:4" x14ac:dyDescent="0.2">
      <c r="B456" s="14" t="s">
        <v>887</v>
      </c>
      <c r="C456" t="str">
        <f t="shared" si="6"/>
        <v>"I Ti",</v>
      </c>
    </row>
    <row r="457" spans="2:4" x14ac:dyDescent="0.2">
      <c r="B457" s="14" t="s">
        <v>888</v>
      </c>
      <c r="C457" t="str">
        <f t="shared" si="6"/>
        <v>"1Timothy",</v>
      </c>
    </row>
    <row r="458" spans="2:4" x14ac:dyDescent="0.2">
      <c r="B458" s="14" t="s">
        <v>889</v>
      </c>
      <c r="C458" t="str">
        <f t="shared" si="6"/>
        <v>"1Tim",</v>
      </c>
    </row>
    <row r="459" spans="2:4" x14ac:dyDescent="0.2">
      <c r="B459" s="14" t="s">
        <v>890</v>
      </c>
      <c r="C459" t="str">
        <f t="shared" si="6"/>
        <v>"1Ti",</v>
      </c>
    </row>
    <row r="460" spans="2:4" x14ac:dyDescent="0.2">
      <c r="B460" s="14" t="s">
        <v>891</v>
      </c>
      <c r="C460" t="str">
        <f t="shared" si="6"/>
        <v>"1st Timothy",</v>
      </c>
    </row>
    <row r="461" spans="2:4" x14ac:dyDescent="0.2">
      <c r="B461" s="14" t="s">
        <v>892</v>
      </c>
      <c r="C461" t="str">
        <f t="shared" si="6"/>
        <v>"1st Tim",</v>
      </c>
    </row>
    <row r="462" spans="2:4" x14ac:dyDescent="0.2">
      <c r="B462" s="14" t="s">
        <v>893</v>
      </c>
      <c r="C462" t="str">
        <f t="shared" si="6"/>
        <v>"First Timothy",</v>
      </c>
    </row>
    <row r="463" spans="2:4" x14ac:dyDescent="0.2">
      <c r="B463" s="14" t="s">
        <v>894</v>
      </c>
      <c r="C463" t="str">
        <f t="shared" si="6"/>
        <v>"First Tim",</v>
      </c>
    </row>
    <row r="464" spans="2:4" x14ac:dyDescent="0.2">
      <c r="C464" t="str">
        <f t="shared" si="6"/>
        <v/>
      </c>
    </row>
    <row r="465" spans="2:4" x14ac:dyDescent="0.2">
      <c r="B465" s="14" t="s">
        <v>152</v>
      </c>
      <c r="C465" t="str">
        <f t="shared" si="6"/>
        <v>"2 Timothy",</v>
      </c>
    </row>
    <row r="466" spans="2:4" x14ac:dyDescent="0.2">
      <c r="C466" t="str">
        <f t="shared" si="6"/>
        <v/>
      </c>
    </row>
    <row r="467" spans="2:4" x14ac:dyDescent="0.2">
      <c r="B467" s="14" t="s">
        <v>1082</v>
      </c>
      <c r="C467" t="str">
        <f t="shared" si="6"/>
        <v>"2 Tim",</v>
      </c>
      <c r="D467" t="str">
        <f>C467&amp;C468&amp;C469&amp;C470&amp;C471&amp;C472&amp;C473&amp;C474&amp;C475&amp;C476&amp;C477&amp;C478</f>
        <v>"2 Tim","2 Ti","II Timothy","II Tim","II Ti","2Timothy","2Tim","2Ti","2nd Timothy","2nd Tim","Second Timothy","Second Tim",</v>
      </c>
    </row>
    <row r="468" spans="2:4" x14ac:dyDescent="0.2">
      <c r="B468" s="14" t="s">
        <v>895</v>
      </c>
      <c r="C468" t="str">
        <f t="shared" si="6"/>
        <v>"2 Ti",</v>
      </c>
    </row>
    <row r="469" spans="2:4" x14ac:dyDescent="0.2">
      <c r="B469" s="14" t="s">
        <v>896</v>
      </c>
      <c r="C469" t="str">
        <f t="shared" si="6"/>
        <v>"II Timothy",</v>
      </c>
    </row>
    <row r="470" spans="2:4" x14ac:dyDescent="0.2">
      <c r="B470" s="14" t="s">
        <v>897</v>
      </c>
      <c r="C470" t="str">
        <f t="shared" si="6"/>
        <v>"II Tim",</v>
      </c>
    </row>
    <row r="471" spans="2:4" x14ac:dyDescent="0.2">
      <c r="B471" s="14" t="s">
        <v>898</v>
      </c>
      <c r="C471" t="str">
        <f t="shared" si="6"/>
        <v>"II Ti",</v>
      </c>
    </row>
    <row r="472" spans="2:4" x14ac:dyDescent="0.2">
      <c r="B472" s="14" t="s">
        <v>899</v>
      </c>
      <c r="C472" t="str">
        <f t="shared" si="6"/>
        <v>"2Timothy",</v>
      </c>
    </row>
    <row r="473" spans="2:4" x14ac:dyDescent="0.2">
      <c r="B473" s="14" t="s">
        <v>900</v>
      </c>
      <c r="C473" t="str">
        <f t="shared" si="6"/>
        <v>"2Tim",</v>
      </c>
    </row>
    <row r="474" spans="2:4" x14ac:dyDescent="0.2">
      <c r="B474" s="14" t="s">
        <v>901</v>
      </c>
      <c r="C474" t="str">
        <f t="shared" si="6"/>
        <v>"2Ti",</v>
      </c>
    </row>
    <row r="475" spans="2:4" x14ac:dyDescent="0.2">
      <c r="B475" s="14" t="s">
        <v>902</v>
      </c>
      <c r="C475" t="str">
        <f t="shared" si="6"/>
        <v>"2nd Timothy",</v>
      </c>
    </row>
    <row r="476" spans="2:4" x14ac:dyDescent="0.2">
      <c r="B476" s="14" t="s">
        <v>903</v>
      </c>
      <c r="C476" t="str">
        <f t="shared" si="6"/>
        <v>"2nd Tim",</v>
      </c>
    </row>
    <row r="477" spans="2:4" x14ac:dyDescent="0.2">
      <c r="B477" s="14" t="s">
        <v>904</v>
      </c>
      <c r="C477" t="str">
        <f t="shared" si="6"/>
        <v>"Second Timothy",</v>
      </c>
    </row>
    <row r="478" spans="2:4" x14ac:dyDescent="0.2">
      <c r="B478" s="14" t="s">
        <v>905</v>
      </c>
      <c r="C478" t="str">
        <f t="shared" si="6"/>
        <v>"Second Tim",</v>
      </c>
    </row>
    <row r="479" spans="2:4" x14ac:dyDescent="0.2">
      <c r="C479" t="str">
        <f t="shared" si="6"/>
        <v/>
      </c>
    </row>
    <row r="480" spans="2:4" x14ac:dyDescent="0.2">
      <c r="B480" s="14" t="s">
        <v>154</v>
      </c>
      <c r="C480" t="str">
        <f t="shared" si="6"/>
        <v>"Titus",</v>
      </c>
    </row>
    <row r="481" spans="2:3" x14ac:dyDescent="0.2">
      <c r="C481" t="str">
        <f t="shared" si="6"/>
        <v/>
      </c>
    </row>
    <row r="482" spans="2:3" x14ac:dyDescent="0.2">
      <c r="B482" s="14" t="s">
        <v>1083</v>
      </c>
      <c r="C482" t="str">
        <f t="shared" si="6"/>
        <v>"Titus",</v>
      </c>
    </row>
    <row r="483" spans="2:3" x14ac:dyDescent="0.2">
      <c r="B483" s="14" t="s">
        <v>906</v>
      </c>
      <c r="C483" t="str">
        <f t="shared" si="6"/>
        <v>"Tit",</v>
      </c>
    </row>
    <row r="484" spans="2:3" x14ac:dyDescent="0.2">
      <c r="B484" s="14" t="s">
        <v>907</v>
      </c>
      <c r="C484" t="str">
        <f t="shared" si="6"/>
        <v>"ti",</v>
      </c>
    </row>
    <row r="485" spans="2:3" x14ac:dyDescent="0.2">
      <c r="C485" t="str">
        <f t="shared" si="6"/>
        <v/>
      </c>
    </row>
    <row r="486" spans="2:3" x14ac:dyDescent="0.2">
      <c r="B486" s="14" t="s">
        <v>157</v>
      </c>
      <c r="C486" t="str">
        <f t="shared" ref="C486:C549" si="7">IF(B486="","",""""&amp;TRIM(SUBSTITUTE(B486,".",""))&amp;""",")</f>
        <v>"Philemon",</v>
      </c>
    </row>
    <row r="487" spans="2:3" x14ac:dyDescent="0.2">
      <c r="C487" t="str">
        <f t="shared" si="7"/>
        <v/>
      </c>
    </row>
    <row r="488" spans="2:3" x14ac:dyDescent="0.2">
      <c r="B488" s="14" t="s">
        <v>1084</v>
      </c>
      <c r="C488" t="str">
        <f t="shared" si="7"/>
        <v>"Philem",</v>
      </c>
    </row>
    <row r="489" spans="2:3" x14ac:dyDescent="0.2">
      <c r="B489" s="14" t="s">
        <v>908</v>
      </c>
      <c r="C489" t="str">
        <f t="shared" si="7"/>
        <v>"Phm",</v>
      </c>
    </row>
    <row r="490" spans="2:3" x14ac:dyDescent="0.2">
      <c r="B490" s="14" t="s">
        <v>909</v>
      </c>
      <c r="C490" t="str">
        <f t="shared" si="7"/>
        <v>"Pm",</v>
      </c>
    </row>
    <row r="491" spans="2:3" x14ac:dyDescent="0.2">
      <c r="C491" t="str">
        <f t="shared" si="7"/>
        <v/>
      </c>
    </row>
    <row r="492" spans="2:3" x14ac:dyDescent="0.2">
      <c r="B492" s="14" t="s">
        <v>160</v>
      </c>
      <c r="C492" t="str">
        <f t="shared" si="7"/>
        <v>"Hebrews",</v>
      </c>
    </row>
    <row r="493" spans="2:3" x14ac:dyDescent="0.2">
      <c r="C493" t="str">
        <f t="shared" si="7"/>
        <v/>
      </c>
    </row>
    <row r="494" spans="2:3" x14ac:dyDescent="0.2">
      <c r="B494" s="14" t="s">
        <v>1085</v>
      </c>
      <c r="C494" t="str">
        <f t="shared" si="7"/>
        <v>"Heb",</v>
      </c>
    </row>
    <row r="495" spans="2:3" x14ac:dyDescent="0.2">
      <c r="C495" t="str">
        <f t="shared" si="7"/>
        <v/>
      </c>
    </row>
    <row r="496" spans="2:3" x14ac:dyDescent="0.2">
      <c r="B496" s="14" t="s">
        <v>163</v>
      </c>
      <c r="C496" t="str">
        <f t="shared" si="7"/>
        <v>"James",</v>
      </c>
    </row>
    <row r="497" spans="2:4" x14ac:dyDescent="0.2">
      <c r="C497" t="str">
        <f t="shared" si="7"/>
        <v/>
      </c>
    </row>
    <row r="498" spans="2:4" x14ac:dyDescent="0.2">
      <c r="B498" s="14" t="s">
        <v>1086</v>
      </c>
      <c r="C498" t="str">
        <f t="shared" si="7"/>
        <v>"James",</v>
      </c>
    </row>
    <row r="499" spans="2:4" x14ac:dyDescent="0.2">
      <c r="B499" s="14" t="s">
        <v>910</v>
      </c>
      <c r="C499" t="str">
        <f t="shared" si="7"/>
        <v>"Jas",</v>
      </c>
    </row>
    <row r="500" spans="2:4" x14ac:dyDescent="0.2">
      <c r="B500" s="14" t="s">
        <v>911</v>
      </c>
      <c r="C500" t="str">
        <f t="shared" si="7"/>
        <v>"Jm",</v>
      </c>
    </row>
    <row r="501" spans="2:4" x14ac:dyDescent="0.2">
      <c r="C501" t="str">
        <f t="shared" si="7"/>
        <v/>
      </c>
    </row>
    <row r="502" spans="2:4" x14ac:dyDescent="0.2">
      <c r="B502" s="14" t="s">
        <v>166</v>
      </c>
      <c r="C502" t="str">
        <f t="shared" si="7"/>
        <v>"1 Peter",</v>
      </c>
    </row>
    <row r="503" spans="2:4" x14ac:dyDescent="0.2">
      <c r="C503" t="str">
        <f t="shared" si="7"/>
        <v/>
      </c>
    </row>
    <row r="504" spans="2:4" x14ac:dyDescent="0.2">
      <c r="B504" s="14" t="s">
        <v>1087</v>
      </c>
      <c r="C504" t="str">
        <f t="shared" si="7"/>
        <v>"1 Pet",</v>
      </c>
      <c r="D504" t="str">
        <f>C504&amp;C505&amp;C506&amp;C507&amp;C508&amp;C509&amp;C510&amp;C511&amp;C512&amp;C513&amp;C514&amp;C515&amp;C516&amp;C517&amp;C518</f>
        <v>"1 Pet","1 Pe","1 Pt","1 P","I Pet","I Pt","I Pe","1Peter","1Pet","1Pe","1Pt","1P","I Peter","1st Peter","First Peter",</v>
      </c>
    </row>
    <row r="505" spans="2:4" x14ac:dyDescent="0.2">
      <c r="B505" s="14" t="s">
        <v>912</v>
      </c>
      <c r="C505" t="str">
        <f t="shared" si="7"/>
        <v>"1 Pe",</v>
      </c>
    </row>
    <row r="506" spans="2:4" x14ac:dyDescent="0.2">
      <c r="B506" s="14" t="s">
        <v>913</v>
      </c>
      <c r="C506" t="str">
        <f t="shared" si="7"/>
        <v>"1 Pt",</v>
      </c>
    </row>
    <row r="507" spans="2:4" x14ac:dyDescent="0.2">
      <c r="B507" s="14" t="s">
        <v>914</v>
      </c>
      <c r="C507" t="str">
        <f t="shared" si="7"/>
        <v>"1 P",</v>
      </c>
    </row>
    <row r="508" spans="2:4" x14ac:dyDescent="0.2">
      <c r="B508" s="14" t="s">
        <v>915</v>
      </c>
      <c r="C508" t="str">
        <f t="shared" si="7"/>
        <v>"I Pet",</v>
      </c>
    </row>
    <row r="509" spans="2:4" x14ac:dyDescent="0.2">
      <c r="B509" s="14" t="s">
        <v>916</v>
      </c>
      <c r="C509" t="str">
        <f t="shared" si="7"/>
        <v>"I Pt",</v>
      </c>
    </row>
    <row r="510" spans="2:4" x14ac:dyDescent="0.2">
      <c r="B510" s="14" t="s">
        <v>917</v>
      </c>
      <c r="C510" t="str">
        <f t="shared" si="7"/>
        <v>"I Pe",</v>
      </c>
    </row>
    <row r="511" spans="2:4" x14ac:dyDescent="0.2">
      <c r="B511" s="14" t="s">
        <v>918</v>
      </c>
      <c r="C511" t="str">
        <f t="shared" si="7"/>
        <v>"1Peter",</v>
      </c>
    </row>
    <row r="512" spans="2:4" x14ac:dyDescent="0.2">
      <c r="B512" s="14" t="s">
        <v>919</v>
      </c>
      <c r="C512" t="str">
        <f t="shared" si="7"/>
        <v>"1Pet",</v>
      </c>
    </row>
    <row r="513" spans="2:4" x14ac:dyDescent="0.2">
      <c r="B513" s="14" t="s">
        <v>920</v>
      </c>
      <c r="C513" t="str">
        <f t="shared" si="7"/>
        <v>"1Pe",</v>
      </c>
    </row>
    <row r="514" spans="2:4" x14ac:dyDescent="0.2">
      <c r="B514" s="14" t="s">
        <v>921</v>
      </c>
      <c r="C514" t="str">
        <f t="shared" si="7"/>
        <v>"1Pt",</v>
      </c>
    </row>
    <row r="515" spans="2:4" x14ac:dyDescent="0.2">
      <c r="B515" s="14" t="s">
        <v>922</v>
      </c>
      <c r="C515" t="str">
        <f t="shared" si="7"/>
        <v>"1P",</v>
      </c>
    </row>
    <row r="516" spans="2:4" x14ac:dyDescent="0.2">
      <c r="B516" s="14" t="s">
        <v>923</v>
      </c>
      <c r="C516" t="str">
        <f t="shared" si="7"/>
        <v>"I Peter",</v>
      </c>
    </row>
    <row r="517" spans="2:4" x14ac:dyDescent="0.2">
      <c r="B517" s="14" t="s">
        <v>924</v>
      </c>
      <c r="C517" t="str">
        <f t="shared" si="7"/>
        <v>"1st Peter",</v>
      </c>
    </row>
    <row r="518" spans="2:4" x14ac:dyDescent="0.2">
      <c r="B518" s="14" t="s">
        <v>925</v>
      </c>
      <c r="C518" t="str">
        <f t="shared" si="7"/>
        <v>"First Peter",</v>
      </c>
    </row>
    <row r="519" spans="2:4" x14ac:dyDescent="0.2">
      <c r="C519" t="str">
        <f t="shared" si="7"/>
        <v/>
      </c>
    </row>
    <row r="520" spans="2:4" x14ac:dyDescent="0.2">
      <c r="B520" s="14" t="s">
        <v>169</v>
      </c>
      <c r="C520" t="str">
        <f t="shared" si="7"/>
        <v>"2 Peter",</v>
      </c>
    </row>
    <row r="521" spans="2:4" x14ac:dyDescent="0.2">
      <c r="C521" t="str">
        <f t="shared" si="7"/>
        <v/>
      </c>
    </row>
    <row r="522" spans="2:4" x14ac:dyDescent="0.2">
      <c r="B522" s="14" t="s">
        <v>1088</v>
      </c>
      <c r="C522" t="str">
        <f t="shared" si="7"/>
        <v>"2 Pet",</v>
      </c>
      <c r="D522" t="str">
        <f>C522&amp;C523&amp;C524&amp;C525&amp;C526&amp;C527&amp;C528&amp;C529&amp;C530&amp;C531&amp;C532&amp;C533&amp;C534&amp;C535&amp;C536</f>
        <v>"2 Pet","2 Pe","2 Pt","2 P","II Peter","II Pet","II Pt","II Pe","2Peter","2Pet","2Pe","2Pt","2P","2nd Peter","Second Peter",</v>
      </c>
    </row>
    <row r="523" spans="2:4" x14ac:dyDescent="0.2">
      <c r="B523" s="14" t="s">
        <v>926</v>
      </c>
      <c r="C523" t="str">
        <f t="shared" si="7"/>
        <v>"2 Pe",</v>
      </c>
    </row>
    <row r="524" spans="2:4" x14ac:dyDescent="0.2">
      <c r="B524" s="14" t="s">
        <v>927</v>
      </c>
      <c r="C524" t="str">
        <f t="shared" si="7"/>
        <v>"2 Pt",</v>
      </c>
    </row>
    <row r="525" spans="2:4" x14ac:dyDescent="0.2">
      <c r="B525" s="14" t="s">
        <v>928</v>
      </c>
      <c r="C525" t="str">
        <f t="shared" si="7"/>
        <v>"2 P",</v>
      </c>
    </row>
    <row r="526" spans="2:4" x14ac:dyDescent="0.2">
      <c r="B526" s="14" t="s">
        <v>929</v>
      </c>
      <c r="C526" t="str">
        <f t="shared" si="7"/>
        <v>"II Peter",</v>
      </c>
    </row>
    <row r="527" spans="2:4" x14ac:dyDescent="0.2">
      <c r="B527" s="14" t="s">
        <v>930</v>
      </c>
      <c r="C527" t="str">
        <f t="shared" si="7"/>
        <v>"II Pet",</v>
      </c>
    </row>
    <row r="528" spans="2:4" x14ac:dyDescent="0.2">
      <c r="B528" s="14" t="s">
        <v>931</v>
      </c>
      <c r="C528" t="str">
        <f t="shared" si="7"/>
        <v>"II Pt",</v>
      </c>
    </row>
    <row r="529" spans="2:4" x14ac:dyDescent="0.2">
      <c r="B529" s="14" t="s">
        <v>932</v>
      </c>
      <c r="C529" t="str">
        <f t="shared" si="7"/>
        <v>"II Pe",</v>
      </c>
    </row>
    <row r="530" spans="2:4" x14ac:dyDescent="0.2">
      <c r="B530" s="14" t="s">
        <v>933</v>
      </c>
      <c r="C530" t="str">
        <f t="shared" si="7"/>
        <v>"2Peter",</v>
      </c>
    </row>
    <row r="531" spans="2:4" x14ac:dyDescent="0.2">
      <c r="B531" s="14" t="s">
        <v>934</v>
      </c>
      <c r="C531" t="str">
        <f t="shared" si="7"/>
        <v>"2Pet",</v>
      </c>
    </row>
    <row r="532" spans="2:4" x14ac:dyDescent="0.2">
      <c r="B532" s="14" t="s">
        <v>935</v>
      </c>
      <c r="C532" t="str">
        <f t="shared" si="7"/>
        <v>"2Pe",</v>
      </c>
    </row>
    <row r="533" spans="2:4" x14ac:dyDescent="0.2">
      <c r="B533" s="14" t="s">
        <v>936</v>
      </c>
      <c r="C533" t="str">
        <f t="shared" si="7"/>
        <v>"2Pt",</v>
      </c>
    </row>
    <row r="534" spans="2:4" x14ac:dyDescent="0.2">
      <c r="B534" s="14" t="s">
        <v>937</v>
      </c>
      <c r="C534" t="str">
        <f t="shared" si="7"/>
        <v>"2P",</v>
      </c>
    </row>
    <row r="535" spans="2:4" x14ac:dyDescent="0.2">
      <c r="B535" s="14" t="s">
        <v>938</v>
      </c>
      <c r="C535" t="str">
        <f t="shared" si="7"/>
        <v>"2nd Peter",</v>
      </c>
    </row>
    <row r="536" spans="2:4" x14ac:dyDescent="0.2">
      <c r="B536" s="14" t="s">
        <v>939</v>
      </c>
      <c r="C536" t="str">
        <f t="shared" si="7"/>
        <v>"Second Peter",</v>
      </c>
    </row>
    <row r="537" spans="2:4" x14ac:dyDescent="0.2">
      <c r="C537" t="str">
        <f t="shared" si="7"/>
        <v/>
      </c>
    </row>
    <row r="538" spans="2:4" x14ac:dyDescent="0.2">
      <c r="B538" s="14" t="s">
        <v>172</v>
      </c>
      <c r="C538" t="str">
        <f t="shared" si="7"/>
        <v>"1 John",</v>
      </c>
    </row>
    <row r="539" spans="2:4" x14ac:dyDescent="0.2">
      <c r="C539" t="str">
        <f t="shared" si="7"/>
        <v/>
      </c>
    </row>
    <row r="540" spans="2:4" x14ac:dyDescent="0.2">
      <c r="B540" s="14" t="s">
        <v>1089</v>
      </c>
      <c r="C540" t="str">
        <f t="shared" si="7"/>
        <v>"1 John",</v>
      </c>
      <c r="D540" t="str">
        <f>C540&amp;C541&amp;C542&amp;C543&amp;C544&amp;C545&amp;C546&amp;C547&amp;C548&amp;C549&amp;C550&amp;C551&amp;C552&amp;C553&amp;C554&amp;C555&amp;C556</f>
        <v>"1 John","1 Jhn","1 Jn","1 J","1John","1Jhn","1Joh","1Jn","1Jo","1J","I John","I Jhn","I Joh","I Jn","I Jo","1st John","First John",</v>
      </c>
    </row>
    <row r="541" spans="2:4" x14ac:dyDescent="0.2">
      <c r="B541" s="14" t="s">
        <v>940</v>
      </c>
      <c r="C541" t="str">
        <f t="shared" si="7"/>
        <v>"1 Jhn",</v>
      </c>
    </row>
    <row r="542" spans="2:4" x14ac:dyDescent="0.2">
      <c r="B542" s="14" t="s">
        <v>941</v>
      </c>
      <c r="C542" t="str">
        <f t="shared" si="7"/>
        <v>"1 Jn",</v>
      </c>
    </row>
    <row r="543" spans="2:4" x14ac:dyDescent="0.2">
      <c r="B543" s="14" t="s">
        <v>942</v>
      </c>
      <c r="C543" t="str">
        <f t="shared" si="7"/>
        <v>"1 J",</v>
      </c>
    </row>
    <row r="544" spans="2:4" x14ac:dyDescent="0.2">
      <c r="B544" s="14" t="s">
        <v>943</v>
      </c>
      <c r="C544" t="str">
        <f t="shared" si="7"/>
        <v>"1John",</v>
      </c>
    </row>
    <row r="545" spans="2:4" x14ac:dyDescent="0.2">
      <c r="B545" s="14" t="s">
        <v>944</v>
      </c>
      <c r="C545" t="str">
        <f t="shared" si="7"/>
        <v>"1Jhn",</v>
      </c>
    </row>
    <row r="546" spans="2:4" x14ac:dyDescent="0.2">
      <c r="B546" s="14" t="s">
        <v>945</v>
      </c>
      <c r="C546" t="str">
        <f t="shared" si="7"/>
        <v>"1Joh",</v>
      </c>
    </row>
    <row r="547" spans="2:4" x14ac:dyDescent="0.2">
      <c r="B547" s="14" t="s">
        <v>946</v>
      </c>
      <c r="C547" t="str">
        <f t="shared" si="7"/>
        <v>"1Jn",</v>
      </c>
    </row>
    <row r="548" spans="2:4" x14ac:dyDescent="0.2">
      <c r="B548" s="14" t="s">
        <v>947</v>
      </c>
      <c r="C548" t="str">
        <f t="shared" si="7"/>
        <v>"1Jo",</v>
      </c>
    </row>
    <row r="549" spans="2:4" x14ac:dyDescent="0.2">
      <c r="B549" s="14" t="s">
        <v>948</v>
      </c>
      <c r="C549" t="str">
        <f t="shared" si="7"/>
        <v>"1J",</v>
      </c>
    </row>
    <row r="550" spans="2:4" x14ac:dyDescent="0.2">
      <c r="B550" s="14" t="s">
        <v>949</v>
      </c>
      <c r="C550" t="str">
        <f t="shared" ref="C550:C608" si="8">IF(B550="","",""""&amp;TRIM(SUBSTITUTE(B550,".",""))&amp;""",")</f>
        <v>"I John",</v>
      </c>
    </row>
    <row r="551" spans="2:4" x14ac:dyDescent="0.2">
      <c r="B551" s="14" t="s">
        <v>950</v>
      </c>
      <c r="C551" t="str">
        <f t="shared" si="8"/>
        <v>"I Jhn",</v>
      </c>
    </row>
    <row r="552" spans="2:4" x14ac:dyDescent="0.2">
      <c r="B552" s="14" t="s">
        <v>951</v>
      </c>
      <c r="C552" t="str">
        <f t="shared" si="8"/>
        <v>"I Joh",</v>
      </c>
    </row>
    <row r="553" spans="2:4" x14ac:dyDescent="0.2">
      <c r="B553" s="14" t="s">
        <v>952</v>
      </c>
      <c r="C553" t="str">
        <f t="shared" si="8"/>
        <v>"I Jn",</v>
      </c>
    </row>
    <row r="554" spans="2:4" x14ac:dyDescent="0.2">
      <c r="B554" s="14" t="s">
        <v>953</v>
      </c>
      <c r="C554" t="str">
        <f t="shared" si="8"/>
        <v>"I Jo",</v>
      </c>
    </row>
    <row r="555" spans="2:4" x14ac:dyDescent="0.2">
      <c r="B555" s="14" t="s">
        <v>954</v>
      </c>
      <c r="C555" t="str">
        <f t="shared" si="8"/>
        <v>"1st John",</v>
      </c>
    </row>
    <row r="556" spans="2:4" x14ac:dyDescent="0.2">
      <c r="B556" s="14" t="s">
        <v>955</v>
      </c>
      <c r="C556" t="str">
        <f t="shared" si="8"/>
        <v>"First John",</v>
      </c>
    </row>
    <row r="557" spans="2:4" x14ac:dyDescent="0.2">
      <c r="C557" t="str">
        <f t="shared" si="8"/>
        <v/>
      </c>
    </row>
    <row r="558" spans="2:4" x14ac:dyDescent="0.2">
      <c r="B558" s="14" t="s">
        <v>175</v>
      </c>
      <c r="C558" t="str">
        <f t="shared" si="8"/>
        <v>"2 John",</v>
      </c>
    </row>
    <row r="559" spans="2:4" x14ac:dyDescent="0.2">
      <c r="C559" t="str">
        <f t="shared" si="8"/>
        <v/>
      </c>
    </row>
    <row r="560" spans="2:4" x14ac:dyDescent="0.2">
      <c r="B560" s="14" t="s">
        <v>1090</v>
      </c>
      <c r="C560" t="str">
        <f t="shared" si="8"/>
        <v>"2 John",</v>
      </c>
      <c r="D560" t="str">
        <f>C560&amp;C561&amp;C562&amp;C563&amp;C564&amp;C565&amp;C566&amp;C567&amp;C568&amp;C569&amp;C570&amp;C571&amp;C572&amp;C573&amp;C574&amp;C575&amp;C576</f>
        <v>"2 John","2 Jhn","2 Jn","2 J","2John","2Jhn","2Joh","2Jn","2Jo","2J","II John","II Jhn","II Joh","II Jn","II Jo","2nd John","Second John",</v>
      </c>
    </row>
    <row r="561" spans="2:3" x14ac:dyDescent="0.2">
      <c r="B561" s="14" t="s">
        <v>956</v>
      </c>
      <c r="C561" t="str">
        <f t="shared" si="8"/>
        <v>"2 Jhn",</v>
      </c>
    </row>
    <row r="562" spans="2:3" x14ac:dyDescent="0.2">
      <c r="B562" s="14" t="s">
        <v>957</v>
      </c>
      <c r="C562" t="str">
        <f t="shared" si="8"/>
        <v>"2 Jn",</v>
      </c>
    </row>
    <row r="563" spans="2:3" x14ac:dyDescent="0.2">
      <c r="B563" s="14" t="s">
        <v>958</v>
      </c>
      <c r="C563" t="str">
        <f t="shared" si="8"/>
        <v>"2 J",</v>
      </c>
    </row>
    <row r="564" spans="2:3" x14ac:dyDescent="0.2">
      <c r="B564" s="14" t="s">
        <v>959</v>
      </c>
      <c r="C564" t="str">
        <f t="shared" si="8"/>
        <v>"2John",</v>
      </c>
    </row>
    <row r="565" spans="2:3" x14ac:dyDescent="0.2">
      <c r="B565" s="14" t="s">
        <v>960</v>
      </c>
      <c r="C565" t="str">
        <f t="shared" si="8"/>
        <v>"2Jhn",</v>
      </c>
    </row>
    <row r="566" spans="2:3" x14ac:dyDescent="0.2">
      <c r="B566" s="14" t="s">
        <v>961</v>
      </c>
      <c r="C566" t="str">
        <f t="shared" si="8"/>
        <v>"2Joh",</v>
      </c>
    </row>
    <row r="567" spans="2:3" x14ac:dyDescent="0.2">
      <c r="B567" s="14" t="s">
        <v>962</v>
      </c>
      <c r="C567" t="str">
        <f t="shared" si="8"/>
        <v>"2Jn",</v>
      </c>
    </row>
    <row r="568" spans="2:3" x14ac:dyDescent="0.2">
      <c r="B568" s="14" t="s">
        <v>963</v>
      </c>
      <c r="C568" t="str">
        <f t="shared" si="8"/>
        <v>"2Jo",</v>
      </c>
    </row>
    <row r="569" spans="2:3" x14ac:dyDescent="0.2">
      <c r="B569" s="14" t="s">
        <v>964</v>
      </c>
      <c r="C569" t="str">
        <f t="shared" si="8"/>
        <v>"2J",</v>
      </c>
    </row>
    <row r="570" spans="2:3" x14ac:dyDescent="0.2">
      <c r="B570" s="14" t="s">
        <v>965</v>
      </c>
      <c r="C570" t="str">
        <f t="shared" si="8"/>
        <v>"II John",</v>
      </c>
    </row>
    <row r="571" spans="2:3" x14ac:dyDescent="0.2">
      <c r="B571" s="14" t="s">
        <v>966</v>
      </c>
      <c r="C571" t="str">
        <f t="shared" si="8"/>
        <v>"II Jhn",</v>
      </c>
    </row>
    <row r="572" spans="2:3" x14ac:dyDescent="0.2">
      <c r="B572" s="14" t="s">
        <v>967</v>
      </c>
      <c r="C572" t="str">
        <f t="shared" si="8"/>
        <v>"II Joh",</v>
      </c>
    </row>
    <row r="573" spans="2:3" x14ac:dyDescent="0.2">
      <c r="B573" s="14" t="s">
        <v>968</v>
      </c>
      <c r="C573" t="str">
        <f t="shared" si="8"/>
        <v>"II Jn",</v>
      </c>
    </row>
    <row r="574" spans="2:3" x14ac:dyDescent="0.2">
      <c r="B574" s="14" t="s">
        <v>969</v>
      </c>
      <c r="C574" t="str">
        <f t="shared" si="8"/>
        <v>"II Jo",</v>
      </c>
    </row>
    <row r="575" spans="2:3" x14ac:dyDescent="0.2">
      <c r="B575" s="14" t="s">
        <v>970</v>
      </c>
      <c r="C575" t="str">
        <f t="shared" si="8"/>
        <v>"2nd John",</v>
      </c>
    </row>
    <row r="576" spans="2:3" x14ac:dyDescent="0.2">
      <c r="B576" s="14" t="s">
        <v>971</v>
      </c>
      <c r="C576" t="str">
        <f t="shared" si="8"/>
        <v>"Second John",</v>
      </c>
    </row>
    <row r="577" spans="2:4" x14ac:dyDescent="0.2">
      <c r="C577" t="str">
        <f t="shared" si="8"/>
        <v/>
      </c>
    </row>
    <row r="578" spans="2:4" x14ac:dyDescent="0.2">
      <c r="B578" s="14" t="s">
        <v>178</v>
      </c>
      <c r="C578" t="str">
        <f t="shared" si="8"/>
        <v>"3 John",</v>
      </c>
    </row>
    <row r="579" spans="2:4" x14ac:dyDescent="0.2">
      <c r="C579" t="str">
        <f t="shared" si="8"/>
        <v/>
      </c>
    </row>
    <row r="580" spans="2:4" x14ac:dyDescent="0.2">
      <c r="B580" s="14" t="s">
        <v>1091</v>
      </c>
      <c r="C580" t="str">
        <f t="shared" si="8"/>
        <v>"3 John",</v>
      </c>
      <c r="D580" t="str">
        <f>C580&amp;C581&amp;C582&amp;C583&amp;C584&amp;C585&amp;C586&amp;C587&amp;C588&amp;C589&amp;C590&amp;C591&amp;C592&amp;C593&amp;C594&amp;C595&amp;C596</f>
        <v>"3 John","3 Jhn","3 Jn","3 J","3John","3Jhn","3Joh","3Jn","3Jo","3J","III John","III Jhn","III Joh","III Jn","III Jo","3rd John","Third John",</v>
      </c>
    </row>
    <row r="581" spans="2:4" x14ac:dyDescent="0.2">
      <c r="B581" s="14" t="s">
        <v>972</v>
      </c>
      <c r="C581" t="str">
        <f t="shared" si="8"/>
        <v>"3 Jhn",</v>
      </c>
    </row>
    <row r="582" spans="2:4" x14ac:dyDescent="0.2">
      <c r="B582" s="14" t="s">
        <v>973</v>
      </c>
      <c r="C582" t="str">
        <f t="shared" si="8"/>
        <v>"3 Jn",</v>
      </c>
    </row>
    <row r="583" spans="2:4" x14ac:dyDescent="0.2">
      <c r="B583" s="14" t="s">
        <v>974</v>
      </c>
      <c r="C583" t="str">
        <f t="shared" si="8"/>
        <v>"3 J",</v>
      </c>
    </row>
    <row r="584" spans="2:4" x14ac:dyDescent="0.2">
      <c r="B584" s="14" t="s">
        <v>975</v>
      </c>
      <c r="C584" t="str">
        <f t="shared" si="8"/>
        <v>"3John",</v>
      </c>
    </row>
    <row r="585" spans="2:4" x14ac:dyDescent="0.2">
      <c r="B585" s="14" t="s">
        <v>976</v>
      </c>
      <c r="C585" t="str">
        <f t="shared" si="8"/>
        <v>"3Jhn",</v>
      </c>
    </row>
    <row r="586" spans="2:4" x14ac:dyDescent="0.2">
      <c r="B586" s="14" t="s">
        <v>977</v>
      </c>
      <c r="C586" t="str">
        <f t="shared" si="8"/>
        <v>"3Joh",</v>
      </c>
    </row>
    <row r="587" spans="2:4" x14ac:dyDescent="0.2">
      <c r="B587" s="14" t="s">
        <v>978</v>
      </c>
      <c r="C587" t="str">
        <f t="shared" si="8"/>
        <v>"3Jn",</v>
      </c>
    </row>
    <row r="588" spans="2:4" x14ac:dyDescent="0.2">
      <c r="B588" s="14" t="s">
        <v>979</v>
      </c>
      <c r="C588" t="str">
        <f t="shared" si="8"/>
        <v>"3Jo",</v>
      </c>
    </row>
    <row r="589" spans="2:4" x14ac:dyDescent="0.2">
      <c r="B589" s="14" t="s">
        <v>980</v>
      </c>
      <c r="C589" t="str">
        <f t="shared" si="8"/>
        <v>"3J",</v>
      </c>
    </row>
    <row r="590" spans="2:4" x14ac:dyDescent="0.2">
      <c r="B590" s="14" t="s">
        <v>981</v>
      </c>
      <c r="C590" t="str">
        <f t="shared" si="8"/>
        <v>"III John",</v>
      </c>
    </row>
    <row r="591" spans="2:4" x14ac:dyDescent="0.2">
      <c r="B591" s="14" t="s">
        <v>982</v>
      </c>
      <c r="C591" t="str">
        <f t="shared" si="8"/>
        <v>"III Jhn",</v>
      </c>
    </row>
    <row r="592" spans="2:4" x14ac:dyDescent="0.2">
      <c r="B592" s="14" t="s">
        <v>983</v>
      </c>
      <c r="C592" t="str">
        <f t="shared" si="8"/>
        <v>"III Joh",</v>
      </c>
    </row>
    <row r="593" spans="2:3" x14ac:dyDescent="0.2">
      <c r="B593" s="14" t="s">
        <v>984</v>
      </c>
      <c r="C593" t="str">
        <f t="shared" si="8"/>
        <v>"III Jn",</v>
      </c>
    </row>
    <row r="594" spans="2:3" x14ac:dyDescent="0.2">
      <c r="B594" s="14" t="s">
        <v>985</v>
      </c>
      <c r="C594" t="str">
        <f t="shared" si="8"/>
        <v>"III Jo",</v>
      </c>
    </row>
    <row r="595" spans="2:3" x14ac:dyDescent="0.2">
      <c r="B595" s="14" t="s">
        <v>986</v>
      </c>
      <c r="C595" t="str">
        <f t="shared" si="8"/>
        <v>"3rd John",</v>
      </c>
    </row>
    <row r="596" spans="2:3" x14ac:dyDescent="0.2">
      <c r="B596" s="14" t="s">
        <v>987</v>
      </c>
      <c r="C596" t="str">
        <f t="shared" si="8"/>
        <v>"Third John",</v>
      </c>
    </row>
    <row r="597" spans="2:3" x14ac:dyDescent="0.2">
      <c r="C597" t="str">
        <f t="shared" si="8"/>
        <v/>
      </c>
    </row>
    <row r="598" spans="2:3" x14ac:dyDescent="0.2">
      <c r="B598" s="14" t="s">
        <v>180</v>
      </c>
      <c r="C598" t="str">
        <f t="shared" si="8"/>
        <v>"Jude",</v>
      </c>
    </row>
    <row r="599" spans="2:3" x14ac:dyDescent="0.2">
      <c r="C599" t="str">
        <f t="shared" si="8"/>
        <v/>
      </c>
    </row>
    <row r="600" spans="2:3" x14ac:dyDescent="0.2">
      <c r="B600" s="14" t="s">
        <v>1092</v>
      </c>
      <c r="C600" t="str">
        <f t="shared" si="8"/>
        <v>"Jude",</v>
      </c>
    </row>
    <row r="601" spans="2:3" x14ac:dyDescent="0.2">
      <c r="B601" s="14" t="s">
        <v>988</v>
      </c>
      <c r="C601" t="str">
        <f t="shared" si="8"/>
        <v>"Jud",</v>
      </c>
    </row>
    <row r="602" spans="2:3" x14ac:dyDescent="0.2">
      <c r="B602" s="14" t="s">
        <v>989</v>
      </c>
      <c r="C602" t="str">
        <f t="shared" si="8"/>
        <v>"Jd",</v>
      </c>
    </row>
    <row r="603" spans="2:3" x14ac:dyDescent="0.2">
      <c r="C603" t="str">
        <f t="shared" si="8"/>
        <v/>
      </c>
    </row>
    <row r="604" spans="2:3" x14ac:dyDescent="0.2">
      <c r="B604" s="14" t="s">
        <v>183</v>
      </c>
      <c r="C604" t="str">
        <f t="shared" si="8"/>
        <v>"Revelation",</v>
      </c>
    </row>
    <row r="605" spans="2:3" x14ac:dyDescent="0.2">
      <c r="C605" t="str">
        <f t="shared" si="8"/>
        <v/>
      </c>
    </row>
    <row r="606" spans="2:3" x14ac:dyDescent="0.2">
      <c r="B606" s="14" t="s">
        <v>182</v>
      </c>
      <c r="C606" t="str">
        <f t="shared" si="8"/>
        <v>"Rev",</v>
      </c>
    </row>
    <row r="607" spans="2:3" x14ac:dyDescent="0.2">
      <c r="B607" s="14" t="s">
        <v>990</v>
      </c>
      <c r="C607" t="str">
        <f t="shared" si="8"/>
        <v>"Re",</v>
      </c>
    </row>
    <row r="608" spans="2:3" x14ac:dyDescent="0.2">
      <c r="B608" s="14" t="s">
        <v>991</v>
      </c>
      <c r="C608" t="str">
        <f t="shared" si="8"/>
        <v>"The Revelation",</v>
      </c>
    </row>
    <row r="611" spans="2:2" x14ac:dyDescent="0.2">
      <c r="B611" s="14" t="s">
        <v>992</v>
      </c>
    </row>
  </sheetData>
  <hyperlinks>
    <hyperlink ref="C1" r:id="rId1" display="https://www.blueletterbible.org/study/misc/66books.cfm?utm_source=chatgpt.com" xr:uid="{51376879-D059-1443-A63C-BE6B3E42E0D3}"/>
    <hyperlink ref="C2" r:id="rId2" display="https://www.blueletterbible.org/study/misc/66books.cfm?utm_source=chatgpt.com" xr:uid="{F8909094-A2BD-534D-9E50-C4D72FC3662E}"/>
    <hyperlink ref="C3" r:id="rId3" display="https://www.blueletterbible.org/study/misc/66books.cfm?utm_source=chatgpt.com" xr:uid="{3E2C9B53-4CE2-5C44-B644-8064282923A9}"/>
    <hyperlink ref="C4" r:id="rId4" display="https://www.blueletterbible.org/study/misc/66books.cfm?utm_source=chatgpt.com" xr:uid="{66DEF7E8-2E2D-3841-84D4-9210C71FEA06}"/>
    <hyperlink ref="C5" r:id="rId5" display="https://www.blueletterbible.org/study/misc/66books.cfm?utm_source=chatgpt.com" xr:uid="{327FD29E-5BF0-9543-A06B-616C49176A43}"/>
    <hyperlink ref="C6" r:id="rId6" display="https://www.blueletterbible.org/study/misc/66books.cfm?utm_source=chatgpt.com" xr:uid="{B8D09C08-6198-744E-832F-738F0578DB5E}"/>
    <hyperlink ref="C7" r:id="rId7" display="https://www.blueletterbible.org/study/misc/66books.cfm?utm_source=chatgpt.com" xr:uid="{2D19C9AF-4A21-5742-B381-5CD461836FC4}"/>
    <hyperlink ref="C8" r:id="rId8" display="https://www.blueletterbible.org/study/misc/66books.cfm?utm_source=chatgpt.com" xr:uid="{FFF2734A-98F9-1A4C-B791-1B1308C4E4F4}"/>
    <hyperlink ref="C9" r:id="rId9" display="https://www.blueletterbible.org/study/misc/66books.cfm?utm_source=chatgpt.com" xr:uid="{EFC492DE-64F6-3042-BE6E-5DDCE3547576}"/>
    <hyperlink ref="C10" r:id="rId10" display="https://www.blueletterbible.org/study/misc/66books.cfm?utm_source=chatgpt.com" xr:uid="{25BDC368-8F58-EC4B-89E7-F42EDC6942F2}"/>
    <hyperlink ref="C11" r:id="rId11" display="https://www.blueletterbible.org/study/misc/66books.cfm?utm_source=chatgpt.com" xr:uid="{A1B2E977-E4C7-ED4F-B188-40C32956F7B4}"/>
    <hyperlink ref="C12" r:id="rId12" display="https://www.blueletterbible.org/study/misc/66books.cfm?utm_source=chatgpt.com" xr:uid="{F9FE04F0-B4DC-6B4D-B3BE-9DA87D092ADD}"/>
    <hyperlink ref="C13" r:id="rId13" display="https://www.blueletterbible.org/study/misc/66books.cfm?utm_source=chatgpt.com" xr:uid="{AB6E5C34-CA40-3243-83A6-61BA2468C540}"/>
    <hyperlink ref="C14" r:id="rId14" display="https://www.blueletterbible.org/study/misc/66books.cfm?utm_source=chatgpt.com" xr:uid="{9961C2D8-A199-B647-AA12-476406B49DE0}"/>
    <hyperlink ref="C15" r:id="rId15" display="https://www.blueletterbible.org/study/misc/66books.cfm?utm_source=chatgpt.com" xr:uid="{EB583435-1F54-034A-8E8D-3409709CB3EF}"/>
    <hyperlink ref="C16" r:id="rId16" display="https://www.blueletterbible.org/study/misc/66books.cfm?utm_source=chatgpt.com" xr:uid="{DBE9CEDB-03CA-0C4E-9335-D730871276A6}"/>
    <hyperlink ref="C17" r:id="rId17" display="https://www.blueletterbible.org/study/misc/66books.cfm?utm_source=chatgpt.com" xr:uid="{5A0ED152-0372-DB43-847A-D94F99636CFF}"/>
    <hyperlink ref="C18" r:id="rId18" display="https://www.blueletterbible.org/study/misc/66books.cfm?utm_source=chatgpt.com" xr:uid="{84B4E285-A6BC-BA4D-93A0-61142BEE4F58}"/>
    <hyperlink ref="C19" r:id="rId19" display="https://www.blueletterbible.org/study/misc/66books.cfm?utm_source=chatgpt.com" xr:uid="{78387655-D11C-BE45-9888-CCDA567252B9}"/>
    <hyperlink ref="C20" r:id="rId20" display="https://www.blueletterbible.org/study/misc/66books.cfm?utm_source=chatgpt.com" xr:uid="{C4A2F784-5F0D-BF44-B1AC-419ECB6DAF55}"/>
    <hyperlink ref="C21" r:id="rId21" display="https://www.blueletterbible.org/study/misc/66books.cfm?utm_source=chatgpt.com" xr:uid="{005D940A-FA80-BD4D-8053-FDA2A52A2CAE}"/>
    <hyperlink ref="C22" r:id="rId22" display="https://www.blueletterbible.org/study/misc/66books.cfm?utm_source=chatgpt.com" xr:uid="{403BA883-8625-0E48-895B-A64AEDEA0823}"/>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2E2622-AED5-D548-A988-B5B7E2244BA7}">
  <dimension ref="B1:F23"/>
  <sheetViews>
    <sheetView workbookViewId="0">
      <selection activeCell="J46" sqref="J46"/>
    </sheetView>
  </sheetViews>
  <sheetFormatPr baseColWidth="10" defaultRowHeight="16" x14ac:dyDescent="0.2"/>
  <cols>
    <col min="2" max="2" width="15.5" bestFit="1" customWidth="1"/>
    <col min="3" max="3" width="11.83203125" bestFit="1" customWidth="1"/>
  </cols>
  <sheetData>
    <row r="1" spans="2:6" x14ac:dyDescent="0.2">
      <c r="E1" t="s">
        <v>1143</v>
      </c>
      <c r="F1" t="s">
        <v>1144</v>
      </c>
    </row>
    <row r="2" spans="2:6" x14ac:dyDescent="0.2">
      <c r="B2" t="s">
        <v>667</v>
      </c>
      <c r="C2" t="s">
        <v>676</v>
      </c>
      <c r="E2" t="str">
        <f>"["""&amp;B2&amp;"""]"</f>
        <v>["jewish"]</v>
      </c>
      <c r="F2" t="str">
        <f>"["""&amp;C2&amp;"""]"</f>
        <v>["abrahamic"]</v>
      </c>
    </row>
    <row r="3" spans="2:6" x14ac:dyDescent="0.2">
      <c r="B3" t="s">
        <v>668</v>
      </c>
      <c r="C3" t="s">
        <v>676</v>
      </c>
      <c r="D3" t="s">
        <v>677</v>
      </c>
      <c r="E3" t="str">
        <f t="shared" ref="E3:F23" si="0">"["""&amp;B3&amp;"""]"</f>
        <v>["protestant"]</v>
      </c>
      <c r="F3" t="str">
        <f>"["""&amp;C3&amp;""", """&amp;D3&amp;"""]"</f>
        <v>["abrahamic", "christian"]</v>
      </c>
    </row>
    <row r="4" spans="2:6" x14ac:dyDescent="0.2">
      <c r="B4" t="s">
        <v>669</v>
      </c>
      <c r="C4" t="s">
        <v>676</v>
      </c>
      <c r="D4" t="s">
        <v>677</v>
      </c>
      <c r="E4" t="str">
        <f t="shared" si="0"/>
        <v>["catholic"]</v>
      </c>
      <c r="F4" t="str">
        <f t="shared" ref="F4:F7" si="1">"["""&amp;C4&amp;""", """&amp;D4&amp;"""]"</f>
        <v>["abrahamic", "christian"]</v>
      </c>
    </row>
    <row r="5" spans="2:6" x14ac:dyDescent="0.2">
      <c r="B5" t="s">
        <v>670</v>
      </c>
      <c r="C5" t="s">
        <v>676</v>
      </c>
      <c r="D5" t="s">
        <v>677</v>
      </c>
      <c r="E5" t="str">
        <f t="shared" si="0"/>
        <v>["eastern_orthodox"]</v>
      </c>
      <c r="F5" t="str">
        <f t="shared" si="1"/>
        <v>["abrahamic", "christian"]</v>
      </c>
    </row>
    <row r="6" spans="2:6" x14ac:dyDescent="0.2">
      <c r="B6" t="s">
        <v>671</v>
      </c>
      <c r="C6" t="s">
        <v>676</v>
      </c>
      <c r="D6" t="s">
        <v>677</v>
      </c>
      <c r="E6" t="str">
        <f t="shared" si="0"/>
        <v>["oriental_orthodox"]</v>
      </c>
      <c r="F6" t="str">
        <f t="shared" si="1"/>
        <v>["abrahamic", "christian"]</v>
      </c>
    </row>
    <row r="7" spans="2:6" x14ac:dyDescent="0.2">
      <c r="B7" t="s">
        <v>672</v>
      </c>
      <c r="C7" t="s">
        <v>676</v>
      </c>
      <c r="D7" t="s">
        <v>677</v>
      </c>
      <c r="E7" t="str">
        <f t="shared" si="0"/>
        <v>["lds"]</v>
      </c>
      <c r="F7" t="str">
        <f t="shared" si="1"/>
        <v>["abrahamic", "christian"]</v>
      </c>
    </row>
    <row r="8" spans="2:6" x14ac:dyDescent="0.2">
      <c r="B8" t="s">
        <v>621</v>
      </c>
      <c r="C8" t="s">
        <v>676</v>
      </c>
      <c r="E8" t="str">
        <f t="shared" si="0"/>
        <v>["islamic"]</v>
      </c>
      <c r="F8" t="str">
        <f t="shared" si="0"/>
        <v>["abrahamic"]</v>
      </c>
    </row>
    <row r="9" spans="2:6" x14ac:dyDescent="0.2">
      <c r="B9" t="s">
        <v>624</v>
      </c>
      <c r="C9" t="s">
        <v>678</v>
      </c>
      <c r="E9" t="str">
        <f t="shared" si="0"/>
        <v>["hindu"]</v>
      </c>
      <c r="F9" t="str">
        <f t="shared" si="0"/>
        <v>["dharmic"]</v>
      </c>
    </row>
    <row r="10" spans="2:6" x14ac:dyDescent="0.2">
      <c r="B10" t="s">
        <v>635</v>
      </c>
      <c r="C10" t="s">
        <v>678</v>
      </c>
      <c r="E10" t="str">
        <f t="shared" si="0"/>
        <v>["buddhist"]</v>
      </c>
      <c r="F10" t="str">
        <f t="shared" si="0"/>
        <v>["dharmic"]</v>
      </c>
    </row>
    <row r="11" spans="2:6" x14ac:dyDescent="0.2">
      <c r="B11" t="s">
        <v>631</v>
      </c>
      <c r="C11" t="s">
        <v>678</v>
      </c>
      <c r="E11" t="str">
        <f t="shared" si="0"/>
        <v>["jain"]</v>
      </c>
      <c r="F11" t="str">
        <f t="shared" si="0"/>
        <v>["dharmic"]</v>
      </c>
    </row>
    <row r="12" spans="2:6" x14ac:dyDescent="0.2">
      <c r="B12" t="s">
        <v>673</v>
      </c>
      <c r="C12" t="s">
        <v>678</v>
      </c>
      <c r="E12" t="str">
        <f t="shared" si="0"/>
        <v>["sikh"]</v>
      </c>
      <c r="F12" t="str">
        <f t="shared" si="0"/>
        <v>["dharmic"]</v>
      </c>
    </row>
    <row r="13" spans="2:6" x14ac:dyDescent="0.2">
      <c r="B13" t="s">
        <v>640</v>
      </c>
      <c r="C13" t="s">
        <v>679</v>
      </c>
      <c r="E13" t="str">
        <f t="shared" si="0"/>
        <v>["taoist"]</v>
      </c>
      <c r="F13" t="str">
        <f t="shared" si="0"/>
        <v>["east_asian"]</v>
      </c>
    </row>
    <row r="14" spans="2:6" x14ac:dyDescent="0.2">
      <c r="B14" t="s">
        <v>643</v>
      </c>
      <c r="C14" t="s">
        <v>679</v>
      </c>
      <c r="E14" t="str">
        <f t="shared" si="0"/>
        <v>["confucian"]</v>
      </c>
      <c r="F14" t="str">
        <f t="shared" si="0"/>
        <v>["east_asian"]</v>
      </c>
    </row>
    <row r="15" spans="2:6" x14ac:dyDescent="0.2">
      <c r="B15" t="s">
        <v>674</v>
      </c>
      <c r="C15" t="s">
        <v>679</v>
      </c>
      <c r="E15" t="str">
        <f t="shared" si="0"/>
        <v>["shinto"]</v>
      </c>
      <c r="F15" t="str">
        <f t="shared" si="0"/>
        <v>["east_asian"]</v>
      </c>
    </row>
    <row r="16" spans="2:6" x14ac:dyDescent="0.2">
      <c r="B16" t="s">
        <v>657</v>
      </c>
      <c r="C16" t="s">
        <v>680</v>
      </c>
      <c r="E16" t="str">
        <f t="shared" si="0"/>
        <v>["sumerian"]</v>
      </c>
      <c r="F16" t="str">
        <f t="shared" si="0"/>
        <v>["near_eastern"]</v>
      </c>
    </row>
    <row r="17" spans="2:6" x14ac:dyDescent="0.2">
      <c r="B17" t="s">
        <v>675</v>
      </c>
      <c r="C17" t="s">
        <v>680</v>
      </c>
      <c r="E17" t="str">
        <f t="shared" si="0"/>
        <v>["akkadian"]</v>
      </c>
      <c r="F17" t="str">
        <f t="shared" si="0"/>
        <v>["near_eastern"]</v>
      </c>
    </row>
    <row r="18" spans="2:6" x14ac:dyDescent="0.2">
      <c r="B18" t="s">
        <v>655</v>
      </c>
      <c r="C18" t="s">
        <v>680</v>
      </c>
      <c r="E18" t="str">
        <f t="shared" si="0"/>
        <v>["babylonian"]</v>
      </c>
      <c r="F18" t="str">
        <f t="shared" si="0"/>
        <v>["near_eastern"]</v>
      </c>
    </row>
    <row r="19" spans="2:6" x14ac:dyDescent="0.2">
      <c r="B19" t="s">
        <v>661</v>
      </c>
      <c r="C19" t="s">
        <v>680</v>
      </c>
      <c r="E19" t="str">
        <f t="shared" si="0"/>
        <v>["ugaritic"]</v>
      </c>
      <c r="F19" t="str">
        <f t="shared" si="0"/>
        <v>["near_eastern"]</v>
      </c>
    </row>
    <row r="20" spans="2:6" x14ac:dyDescent="0.2">
      <c r="B20" t="s">
        <v>662</v>
      </c>
      <c r="C20" t="s">
        <v>680</v>
      </c>
      <c r="E20" t="str">
        <f t="shared" si="0"/>
        <v>["canaanite"]</v>
      </c>
      <c r="F20" t="str">
        <f t="shared" si="0"/>
        <v>["near_eastern"]</v>
      </c>
    </row>
    <row r="21" spans="2:6" x14ac:dyDescent="0.2">
      <c r="B21" t="s">
        <v>651</v>
      </c>
      <c r="C21" t="s">
        <v>651</v>
      </c>
      <c r="E21" t="str">
        <f t="shared" si="0"/>
        <v>["egyptian"]</v>
      </c>
      <c r="F21" t="str">
        <f t="shared" si="0"/>
        <v>["egyptian"]</v>
      </c>
    </row>
    <row r="22" spans="2:6" x14ac:dyDescent="0.2">
      <c r="B22" t="s">
        <v>648</v>
      </c>
      <c r="C22" t="s">
        <v>648</v>
      </c>
      <c r="E22" t="str">
        <f t="shared" si="0"/>
        <v>["zoroastrian"]</v>
      </c>
      <c r="F22" t="str">
        <f t="shared" si="0"/>
        <v>["zoroastrian"]</v>
      </c>
    </row>
    <row r="23" spans="2:6" x14ac:dyDescent="0.2">
      <c r="B23" t="s">
        <v>646</v>
      </c>
      <c r="C23" t="s">
        <v>646</v>
      </c>
      <c r="E23" t="str">
        <f t="shared" si="0"/>
        <v>["other"]</v>
      </c>
      <c r="F23" t="str">
        <f t="shared" si="0"/>
        <v>["other"]</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6CD579-589B-8442-BE20-716F9EAF0623}">
  <dimension ref="B1:I8"/>
  <sheetViews>
    <sheetView workbookViewId="0">
      <selection activeCell="E8" sqref="E8"/>
    </sheetView>
  </sheetViews>
  <sheetFormatPr baseColWidth="10" defaultRowHeight="16" x14ac:dyDescent="0.2"/>
  <cols>
    <col min="1" max="1" width="10.83203125" customWidth="1"/>
    <col min="3" max="3" width="31.5" customWidth="1"/>
    <col min="4" max="4" width="31.33203125" customWidth="1"/>
    <col min="5" max="5" width="67.83203125" customWidth="1"/>
    <col min="6" max="7" width="13.5" customWidth="1"/>
    <col min="8" max="8" width="11.33203125" customWidth="1"/>
  </cols>
  <sheetData>
    <row r="1" spans="2:9" x14ac:dyDescent="0.2">
      <c r="B1" s="11" t="s">
        <v>488</v>
      </c>
      <c r="C1" s="11" t="s">
        <v>594</v>
      </c>
      <c r="D1" s="11" t="s">
        <v>595</v>
      </c>
      <c r="E1" s="11" t="s">
        <v>993</v>
      </c>
      <c r="F1" s="11" t="s">
        <v>1143</v>
      </c>
      <c r="G1" s="11" t="s">
        <v>1145</v>
      </c>
      <c r="H1" s="11" t="s">
        <v>1093</v>
      </c>
      <c r="I1" s="11" t="s">
        <v>596</v>
      </c>
    </row>
    <row r="2" spans="2:9" x14ac:dyDescent="0.2">
      <c r="B2" t="s">
        <v>491</v>
      </c>
      <c r="C2" t="s">
        <v>589</v>
      </c>
      <c r="D2" t="s">
        <v>590</v>
      </c>
      <c r="E2" t="s">
        <v>1007</v>
      </c>
      <c r="H2" t="str">
        <f>"true"</f>
        <v>true</v>
      </c>
      <c r="I2" t="str">
        <f>"{ ""workOsisID"": """&amp;B2&amp;""", ""workTitle"": """&amp;C2&amp;""", ""workSubtitle"": """&amp;D2&amp;""", ""aliases"": "&amp;E2&amp;" },"</f>
        <v>{ "workOsisID": "KJV", "workTitle": "The Holy Bible", "workSubtitle": "King James Version", "aliases": ["The Bible","Bible","Holy Bible"] },</v>
      </c>
    </row>
    <row r="3" spans="2:9" x14ac:dyDescent="0.2">
      <c r="B3" t="s">
        <v>490</v>
      </c>
      <c r="C3" t="s">
        <v>591</v>
      </c>
      <c r="D3" t="s">
        <v>590</v>
      </c>
      <c r="E3" t="s">
        <v>997</v>
      </c>
      <c r="H3" t="str">
        <f t="shared" ref="H3:H8" si="0">"true"</f>
        <v>true</v>
      </c>
      <c r="I3" t="str">
        <f t="shared" ref="I3:I8" si="1">"{ ""workOsisID"": """&amp;B3&amp;""", ""workTitle"": """&amp;C3&amp;""", ""workSubtitle"": """&amp;D3&amp;""", ""aliases"": "&amp;E3&amp;" },"</f>
        <v>{ "workOsisID": "KJVA", "workTitle": "The Holy Bible Apocrypha", "workSubtitle": "King James Version", "aliases": ["King James Apocrypha"] },</v>
      </c>
    </row>
    <row r="4" spans="2:9" x14ac:dyDescent="0.2">
      <c r="B4" t="s">
        <v>310</v>
      </c>
      <c r="C4" t="s">
        <v>593</v>
      </c>
      <c r="E4" t="s">
        <v>999</v>
      </c>
      <c r="H4" t="str">
        <f>"false"</f>
        <v>false</v>
      </c>
      <c r="I4" t="str">
        <f t="shared" si="1"/>
        <v>{ "workOsisID": "T12Patr", "workTitle": "Testaments of the Twelve Patriarchs", "workSubtitle": "", "aliases": ["The Testaments of the Twelve Patriarchs","The Testament of the Twelve Patriarchs","The Testament of the 12 Patriarchs","Testament of the Twelve Patriarchs","Testament of the 12 Patriarchs","Testaments of the 12 Patriarchs","12 Patriarchs","The 12 Patriarchs","The Twelve Patriarchs","T 12 Patriarchs", "12 Patr"] },</v>
      </c>
    </row>
    <row r="5" spans="2:9" x14ac:dyDescent="0.2">
      <c r="B5" t="s">
        <v>358</v>
      </c>
      <c r="C5" t="s">
        <v>358</v>
      </c>
      <c r="D5" t="str">
        <f>Books!B147</f>
        <v>The Lord's Teaching Through the Twelve Apostles to the Nations</v>
      </c>
      <c r="E5" t="s">
        <v>998</v>
      </c>
      <c r="H5" t="str">
        <f t="shared" si="0"/>
        <v>true</v>
      </c>
      <c r="I5" t="str">
        <f t="shared" si="1"/>
        <v>{ "workOsisID": "Didache", "workTitle": "Didache", "workSubtitle": "The Lord's Teaching Through the Twelve Apostles to the Nations", "aliases": ["The Didache"] },</v>
      </c>
    </row>
    <row r="6" spans="2:9" x14ac:dyDescent="0.2">
      <c r="B6" t="s">
        <v>492</v>
      </c>
      <c r="C6" t="s">
        <v>592</v>
      </c>
      <c r="D6" t="s">
        <v>494</v>
      </c>
      <c r="E6" t="s">
        <v>994</v>
      </c>
      <c r="H6" t="str">
        <f t="shared" si="0"/>
        <v>true</v>
      </c>
      <c r="I6" t="str">
        <f t="shared" si="1"/>
        <v>{ "workOsisID": "BofM", "workTitle": "The Book of Mormon", "workSubtitle": "Another Testament of Jesus Christ", "aliases": ["BOM","Book of Mormon"] },</v>
      </c>
    </row>
    <row r="7" spans="2:9" x14ac:dyDescent="0.2">
      <c r="B7" t="s">
        <v>493</v>
      </c>
      <c r="C7" t="s">
        <v>439</v>
      </c>
      <c r="D7" t="s">
        <v>584</v>
      </c>
      <c r="E7" t="s">
        <v>995</v>
      </c>
      <c r="H7" t="str">
        <f t="shared" si="0"/>
        <v>true</v>
      </c>
      <c r="I7" t="str">
        <f t="shared" si="1"/>
        <v>{ "workOsisID": "PGP", "workTitle": "Pearl of Great Price", "workSubtitle": "of The Church of Jesus Christ of Latter-day Saints", "aliases": ["The Pearl of Great Price","PGoP"] },</v>
      </c>
    </row>
    <row r="8" spans="2:9" x14ac:dyDescent="0.2">
      <c r="B8" t="s">
        <v>452</v>
      </c>
      <c r="C8" t="s">
        <v>585</v>
      </c>
      <c r="D8" t="s">
        <v>584</v>
      </c>
      <c r="E8" t="s">
        <v>996</v>
      </c>
      <c r="H8" t="str">
        <f t="shared" si="0"/>
        <v>true</v>
      </c>
      <c r="I8" t="str">
        <f t="shared" si="1"/>
        <v>{ "workOsisID": "D&amp;C", "workTitle": "Doctrine and Covenants", "workSubtitle": "of The Church of Jesus Christ of Latter-day Saints", "aliases": ["D and C", "The Doctrine &amp; Covenants","Doctrine &amp; Covenants", "The Doctrine and Covenants"] },</v>
      </c>
    </row>
  </sheetData>
  <pageMargins left="0.7" right="0.7" top="0.75" bottom="0.75" header="0.3" footer="0.3"/>
  <pageSetup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Books</vt:lpstr>
      <vt:lpstr>Bible Abbr</vt:lpstr>
      <vt:lpstr>Traditions</vt:lpstr>
      <vt:lpstr>Works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Ken Snyder</dc:creator>
  <cp:lastModifiedBy>Ken Snyder</cp:lastModifiedBy>
  <dcterms:created xsi:type="dcterms:W3CDTF">2025-10-17T23:40:31Z</dcterms:created>
  <dcterms:modified xsi:type="dcterms:W3CDTF">2025-11-03T14:25:05Z</dcterms:modified>
</cp:coreProperties>
</file>