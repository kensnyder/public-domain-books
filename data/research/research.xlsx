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ksnyder/Sites/public-domain-books/data/research/"/>
    </mc:Choice>
  </mc:AlternateContent>
  <xr:revisionPtr revIDLastSave="0" documentId="13_ncr:1_{3C9DE35E-947E-B14D-854C-FBF913C17B13}" xr6:coauthVersionLast="47" xr6:coauthVersionMax="47" xr10:uidLastSave="{00000000-0000-0000-0000-000000000000}"/>
  <bookViews>
    <workbookView xWindow="1840" yWindow="500" windowWidth="47220" windowHeight="25960" xr2:uid="{948352A4-4516-F447-8F65-D2A52CDFF619}"/>
  </bookViews>
  <sheets>
    <sheet name="Books" sheetId="1" r:id="rId1"/>
    <sheet name="Works" sheetId="2" r:id="rId2"/>
    <sheet name="Sources" sheetId="5" r:id="rId3"/>
    <sheet name="Scratch" sheetId="6" r:id="rId4"/>
  </sheets>
  <definedNames>
    <definedName name="_xlnm._FilterDatabase" localSheetId="0" hidden="1">Books!$A$1:$E$179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5" i="1" l="1"/>
  <c r="N80" i="1"/>
  <c r="H9" i="2"/>
  <c r="I3" i="2"/>
  <c r="I4" i="2"/>
  <c r="I5" i="2"/>
  <c r="I6" i="2"/>
  <c r="I7" i="2"/>
  <c r="I8" i="2"/>
  <c r="I9" i="2"/>
  <c r="I2" i="2"/>
  <c r="S23" i="6"/>
  <c r="T23" i="6"/>
  <c r="S24" i="6"/>
  <c r="T24" i="6"/>
  <c r="S25" i="6"/>
  <c r="T25" i="6"/>
  <c r="S26" i="6"/>
  <c r="T26" i="6"/>
  <c r="S27" i="6"/>
  <c r="T27" i="6"/>
  <c r="S28" i="6"/>
  <c r="T28" i="6"/>
  <c r="S29" i="6"/>
  <c r="T29" i="6"/>
  <c r="S30" i="6"/>
  <c r="T30" i="6"/>
  <c r="S31" i="6"/>
  <c r="T31" i="6"/>
  <c r="S32" i="6"/>
  <c r="T32" i="6"/>
  <c r="S33" i="6"/>
  <c r="T33" i="6"/>
  <c r="S34" i="6"/>
  <c r="T34" i="6"/>
  <c r="S35" i="6"/>
  <c r="T35" i="6"/>
  <c r="S36" i="6"/>
  <c r="T36" i="6"/>
  <c r="S37" i="6"/>
  <c r="T37" i="6"/>
  <c r="S38" i="6"/>
  <c r="T38" i="6"/>
  <c r="S39" i="6"/>
  <c r="T39" i="6"/>
  <c r="S40" i="6"/>
  <c r="T40" i="6"/>
  <c r="S41" i="6"/>
  <c r="T41" i="6"/>
  <c r="S42" i="6"/>
  <c r="T42" i="6"/>
  <c r="S43" i="6"/>
  <c r="T43" i="6"/>
  <c r="S44" i="6"/>
  <c r="T44" i="6"/>
  <c r="S45" i="6"/>
  <c r="T45" i="6"/>
  <c r="S46" i="6"/>
  <c r="T46" i="6"/>
  <c r="S47" i="6"/>
  <c r="T47" i="6"/>
  <c r="S48" i="6"/>
  <c r="T48" i="6"/>
  <c r="S49" i="6"/>
  <c r="T49" i="6"/>
  <c r="S50" i="6"/>
  <c r="T50" i="6"/>
  <c r="S51" i="6"/>
  <c r="T51" i="6"/>
  <c r="S52" i="6"/>
  <c r="T52" i="6"/>
  <c r="S53" i="6"/>
  <c r="T53" i="6"/>
  <c r="S54" i="6"/>
  <c r="T54" i="6"/>
  <c r="S55" i="6"/>
  <c r="T55" i="6"/>
  <c r="S56" i="6"/>
  <c r="T56" i="6"/>
  <c r="S57" i="6"/>
  <c r="T57" i="6"/>
  <c r="S58" i="6"/>
  <c r="T58" i="6"/>
  <c r="S59" i="6"/>
  <c r="T59" i="6"/>
  <c r="S60" i="6"/>
  <c r="T60" i="6"/>
  <c r="S61" i="6"/>
  <c r="T61" i="6"/>
  <c r="S62" i="6"/>
  <c r="T62" i="6"/>
  <c r="S63" i="6"/>
  <c r="T63" i="6"/>
  <c r="S64" i="6"/>
  <c r="T64" i="6"/>
  <c r="S65" i="6"/>
  <c r="T65" i="6"/>
  <c r="S66" i="6"/>
  <c r="T66" i="6"/>
  <c r="S67" i="6"/>
  <c r="T67" i="6"/>
  <c r="S68" i="6"/>
  <c r="T68" i="6"/>
  <c r="S69" i="6"/>
  <c r="T69" i="6"/>
  <c r="S70" i="6"/>
  <c r="T70" i="6"/>
  <c r="S71" i="6"/>
  <c r="T71" i="6"/>
  <c r="S72" i="6"/>
  <c r="T72" i="6"/>
  <c r="S73" i="6"/>
  <c r="T73" i="6"/>
  <c r="S74" i="6"/>
  <c r="T74" i="6"/>
  <c r="S75" i="6"/>
  <c r="T75" i="6"/>
  <c r="S76" i="6"/>
  <c r="T76" i="6"/>
  <c r="S77" i="6"/>
  <c r="T77" i="6"/>
  <c r="S78" i="6"/>
  <c r="T78" i="6"/>
  <c r="S79" i="6"/>
  <c r="T79" i="6"/>
  <c r="S80" i="6"/>
  <c r="T80" i="6"/>
  <c r="S81" i="6"/>
  <c r="T81" i="6"/>
  <c r="S82" i="6"/>
  <c r="T82" i="6"/>
  <c r="S83" i="6"/>
  <c r="T83" i="6"/>
  <c r="S84" i="6"/>
  <c r="T84" i="6"/>
  <c r="S85" i="6"/>
  <c r="T85" i="6"/>
  <c r="S86" i="6"/>
  <c r="T86" i="6"/>
  <c r="S87" i="6"/>
  <c r="T87" i="6"/>
  <c r="T22" i="6"/>
  <c r="S22" i="6"/>
  <c r="O115" i="1"/>
  <c r="O116" i="1"/>
  <c r="O117" i="1"/>
  <c r="O139" i="1"/>
  <c r="O140" i="1"/>
  <c r="O141" i="1"/>
  <c r="O142" i="1"/>
  <c r="O152" i="1"/>
  <c r="H4" i="2"/>
  <c r="H3" i="2"/>
  <c r="H5" i="2"/>
  <c r="H6" i="2"/>
  <c r="H7" i="2"/>
  <c r="H8" i="2"/>
  <c r="H2" i="2"/>
  <c r="N179" i="1"/>
  <c r="O179" i="1" s="1"/>
  <c r="N178" i="1"/>
  <c r="O178" i="1" s="1"/>
  <c r="N177" i="1"/>
  <c r="O177" i="1" s="1"/>
  <c r="N176" i="1"/>
  <c r="O176" i="1" s="1"/>
  <c r="N175" i="1"/>
  <c r="O175" i="1" s="1"/>
  <c r="N174" i="1"/>
  <c r="O174" i="1" s="1"/>
  <c r="N173" i="1"/>
  <c r="O173" i="1" s="1"/>
  <c r="N172" i="1"/>
  <c r="O172" i="1" s="1"/>
  <c r="N171" i="1"/>
  <c r="O171" i="1" s="1"/>
  <c r="N170" i="1"/>
  <c r="O170" i="1" s="1"/>
  <c r="N169" i="1"/>
  <c r="O169" i="1" s="1"/>
  <c r="N168" i="1"/>
  <c r="O168" i="1" s="1"/>
  <c r="N167" i="1"/>
  <c r="O167" i="1" s="1"/>
  <c r="N166" i="1"/>
  <c r="O166" i="1" s="1"/>
  <c r="N165" i="1"/>
  <c r="O165" i="1" s="1"/>
  <c r="N164" i="1"/>
  <c r="O164" i="1" s="1"/>
  <c r="N163" i="1"/>
  <c r="O163" i="1" s="1"/>
  <c r="N162" i="1"/>
  <c r="O162" i="1" s="1"/>
  <c r="N161" i="1"/>
  <c r="O161" i="1" s="1"/>
  <c r="N160" i="1"/>
  <c r="O160" i="1" s="1"/>
  <c r="N159" i="1"/>
  <c r="O159" i="1" s="1"/>
  <c r="N146" i="1"/>
  <c r="O146" i="1" s="1"/>
  <c r="N97" i="1"/>
  <c r="O97" i="1" s="1"/>
  <c r="N87" i="1"/>
  <c r="N86" i="1"/>
  <c r="N85" i="1"/>
  <c r="O85" i="1" s="1"/>
  <c r="N82" i="1"/>
  <c r="O82" i="1" s="1"/>
  <c r="N81" i="1"/>
  <c r="N79" i="1"/>
  <c r="N78" i="1"/>
  <c r="O78" i="1" s="1"/>
  <c r="N73" i="1"/>
  <c r="O73" i="1" s="1"/>
  <c r="N72" i="1"/>
  <c r="O72" i="1" s="1"/>
  <c r="N71" i="1"/>
  <c r="O71" i="1" s="1"/>
  <c r="N74" i="1"/>
  <c r="O75" i="1"/>
  <c r="N76" i="1"/>
  <c r="N77" i="1"/>
  <c r="O77" i="1" s="1"/>
  <c r="O80" i="1"/>
  <c r="N83" i="1"/>
  <c r="N84" i="1"/>
  <c r="N88" i="1"/>
  <c r="N89" i="1"/>
  <c r="N90" i="1"/>
  <c r="O90" i="1" s="1"/>
  <c r="N91" i="1"/>
  <c r="O91" i="1" s="1"/>
  <c r="N92" i="1"/>
  <c r="O92" i="1" s="1"/>
  <c r="N93" i="1"/>
  <c r="O93" i="1" s="1"/>
  <c r="N94" i="1"/>
  <c r="O94" i="1" s="1"/>
  <c r="N95" i="1"/>
  <c r="O95" i="1" s="1"/>
  <c r="N96" i="1"/>
  <c r="O96" i="1" s="1"/>
  <c r="N98" i="1"/>
  <c r="O98" i="1" s="1"/>
  <c r="N99" i="1"/>
  <c r="O99" i="1" s="1"/>
  <c r="N100" i="1"/>
  <c r="N101" i="1"/>
  <c r="N102" i="1"/>
  <c r="N103" i="1"/>
  <c r="O103" i="1" s="1"/>
  <c r="N104" i="1"/>
  <c r="O104" i="1" s="1"/>
  <c r="N105" i="1"/>
  <c r="O105" i="1" s="1"/>
  <c r="N106" i="1"/>
  <c r="O106" i="1" s="1"/>
  <c r="N107" i="1"/>
  <c r="O107" i="1" s="1"/>
  <c r="N108" i="1"/>
  <c r="O108" i="1" s="1"/>
  <c r="N109" i="1"/>
  <c r="O109" i="1" s="1"/>
  <c r="N110" i="1"/>
  <c r="O110" i="1" s="1"/>
  <c r="N111" i="1"/>
  <c r="N112" i="1"/>
  <c r="N113" i="1"/>
  <c r="O113" i="1" s="1"/>
  <c r="N114" i="1"/>
  <c r="N115" i="1"/>
  <c r="N116" i="1"/>
  <c r="N117" i="1"/>
  <c r="N118" i="1"/>
  <c r="O118" i="1" s="1"/>
  <c r="N119" i="1"/>
  <c r="O119" i="1" s="1"/>
  <c r="N120" i="1"/>
  <c r="O120" i="1" s="1"/>
  <c r="N121" i="1"/>
  <c r="O121" i="1" s="1"/>
  <c r="N122" i="1"/>
  <c r="O122" i="1" s="1"/>
  <c r="N123" i="1"/>
  <c r="N124" i="1"/>
  <c r="N125" i="1"/>
  <c r="N126" i="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N140" i="1"/>
  <c r="N141" i="1"/>
  <c r="N142" i="1"/>
  <c r="N143" i="1"/>
  <c r="O143" i="1" s="1"/>
  <c r="N144" i="1"/>
  <c r="O144" i="1" s="1"/>
  <c r="N145" i="1"/>
  <c r="O145" i="1" s="1"/>
  <c r="N147" i="1"/>
  <c r="O147" i="1" s="1"/>
  <c r="N148" i="1"/>
  <c r="O148" i="1" s="1"/>
  <c r="N149" i="1"/>
  <c r="O149" i="1" s="1"/>
  <c r="N150" i="1"/>
  <c r="O150" i="1" s="1"/>
  <c r="N151" i="1"/>
  <c r="O151" i="1" s="1"/>
  <c r="N152" i="1"/>
  <c r="N153" i="1"/>
  <c r="O153" i="1" s="1"/>
  <c r="N154" i="1"/>
  <c r="O154" i="1" s="1"/>
  <c r="N155" i="1"/>
  <c r="O155" i="1" s="1"/>
  <c r="N156" i="1"/>
  <c r="O156" i="1" s="1"/>
  <c r="N157" i="1"/>
  <c r="O157" i="1" s="1"/>
  <c r="N158" i="1"/>
  <c r="O158" i="1" s="1"/>
  <c r="N70" i="1"/>
  <c r="O70" i="1" s="1"/>
  <c r="N63" i="1"/>
  <c r="N64" i="1"/>
  <c r="N65" i="1"/>
  <c r="N66" i="1"/>
  <c r="O66" i="1" s="1"/>
  <c r="N67" i="1"/>
  <c r="O67" i="1" s="1"/>
  <c r="N68" i="1"/>
  <c r="N69" i="1"/>
  <c r="N3" i="1"/>
  <c r="N4" i="1"/>
  <c r="N5" i="1"/>
  <c r="N6" i="1"/>
  <c r="O6" i="1" s="1"/>
  <c r="N7" i="1"/>
  <c r="N8" i="1"/>
  <c r="N9" i="1"/>
  <c r="N10" i="1"/>
  <c r="N11" i="1"/>
  <c r="N12" i="1"/>
  <c r="O12" i="1" s="1"/>
  <c r="N13" i="1"/>
  <c r="O13" i="1" s="1"/>
  <c r="N14" i="1"/>
  <c r="O14" i="1" s="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O42" i="1" s="1"/>
  <c r="N43" i="1"/>
  <c r="O43" i="1" s="1"/>
  <c r="N44" i="1"/>
  <c r="N45" i="1"/>
  <c r="N46" i="1"/>
  <c r="O46" i="1" s="1"/>
  <c r="N47" i="1"/>
  <c r="O47" i="1" s="1"/>
  <c r="N48" i="1"/>
  <c r="O48" i="1" s="1"/>
  <c r="N49" i="1"/>
  <c r="O49" i="1" s="1"/>
  <c r="N50" i="1"/>
  <c r="O50" i="1" s="1"/>
  <c r="N51" i="1"/>
  <c r="N52" i="1"/>
  <c r="N53" i="1"/>
  <c r="N54" i="1"/>
  <c r="O54" i="1" s="1"/>
  <c r="N55" i="1"/>
  <c r="O55" i="1" s="1"/>
  <c r="N56" i="1"/>
  <c r="N57" i="1"/>
  <c r="N58" i="1"/>
  <c r="O58" i="1" s="1"/>
  <c r="N59" i="1"/>
  <c r="O59" i="1" s="1"/>
  <c r="N60" i="1"/>
  <c r="O60" i="1" s="1"/>
  <c r="N61" i="1"/>
  <c r="O61" i="1" s="1"/>
  <c r="N62" i="1"/>
  <c r="O62" i="1" s="1"/>
  <c r="N2" i="1"/>
  <c r="D5" i="2"/>
  <c r="B69" i="1"/>
  <c r="B68" i="1"/>
  <c r="B8" i="1"/>
  <c r="B9" i="1"/>
  <c r="B10" i="1"/>
  <c r="B11" i="1"/>
  <c r="B16" i="1"/>
  <c r="B17" i="1"/>
  <c r="B18" i="1"/>
  <c r="B19" i="1"/>
  <c r="B20" i="1"/>
  <c r="B21" i="1"/>
  <c r="B22" i="1"/>
  <c r="B23" i="1"/>
  <c r="B24" i="1"/>
  <c r="B25" i="1"/>
  <c r="B26" i="1"/>
  <c r="O26" i="1" s="1"/>
  <c r="B27" i="1"/>
  <c r="O27" i="1" s="1"/>
  <c r="B28" i="1"/>
  <c r="B29" i="1"/>
  <c r="B30" i="1"/>
  <c r="B31" i="1"/>
  <c r="B32" i="1"/>
  <c r="B33" i="1"/>
  <c r="B34" i="1"/>
  <c r="B35" i="1"/>
  <c r="B36" i="1"/>
  <c r="B37" i="1"/>
  <c r="B38" i="1"/>
  <c r="O38" i="1" s="1"/>
  <c r="B39" i="1"/>
  <c r="O39" i="1" s="1"/>
  <c r="B40" i="1"/>
  <c r="B7" i="1"/>
  <c r="O69" i="1" l="1"/>
  <c r="O7" i="1"/>
  <c r="O37" i="1"/>
  <c r="O25" i="1"/>
  <c r="O68" i="1"/>
  <c r="O31" i="1"/>
  <c r="O11" i="1"/>
  <c r="O10" i="1"/>
  <c r="O36" i="1"/>
  <c r="O24" i="1"/>
  <c r="O35" i="1"/>
  <c r="O23" i="1"/>
  <c r="O19" i="1"/>
  <c r="O29" i="1"/>
  <c r="O17" i="1"/>
  <c r="O30" i="1"/>
  <c r="O18" i="1"/>
  <c r="O87" i="1"/>
  <c r="O74" i="1"/>
  <c r="O79" i="1"/>
  <c r="O126" i="1"/>
  <c r="O76" i="1"/>
  <c r="O86" i="1"/>
  <c r="O114" i="1"/>
  <c r="O89" i="1"/>
  <c r="O125" i="1"/>
  <c r="O101" i="1"/>
  <c r="O88" i="1"/>
  <c r="O102" i="1"/>
  <c r="O124" i="1"/>
  <c r="O112" i="1"/>
  <c r="O100" i="1"/>
  <c r="O84" i="1"/>
  <c r="O123" i="1"/>
  <c r="O111" i="1"/>
  <c r="O83" i="1"/>
  <c r="O81" i="1"/>
  <c r="O40" i="1"/>
  <c r="O28" i="1"/>
  <c r="O16" i="1"/>
  <c r="O57" i="1"/>
  <c r="O44" i="1"/>
  <c r="O34" i="1"/>
  <c r="O33" i="1"/>
  <c r="O9" i="1"/>
  <c r="O64" i="1"/>
  <c r="O63" i="1"/>
  <c r="O41" i="1"/>
  <c r="O20" i="1"/>
  <c r="O52" i="1"/>
  <c r="O4" i="1"/>
  <c r="O8" i="1"/>
  <c r="O22" i="1"/>
  <c r="O53" i="1"/>
  <c r="O2" i="1"/>
  <c r="O51" i="1"/>
  <c r="O15" i="1"/>
  <c r="O3" i="1"/>
  <c r="O65" i="1"/>
  <c r="O45" i="1"/>
  <c r="O56" i="1"/>
  <c r="O21" i="1"/>
  <c r="O5" i="1"/>
  <c r="O32" i="1"/>
</calcChain>
</file>

<file path=xl/sharedStrings.xml><?xml version="1.0" encoding="utf-8"?>
<sst xmlns="http://schemas.openxmlformats.org/spreadsheetml/2006/main" count="3009" uniqueCount="1234">
  <si>
    <t>Gen</t>
  </si>
  <si>
    <t>Genesis</t>
  </si>
  <si>
    <t>GEN</t>
  </si>
  <si>
    <t>Exod</t>
  </si>
  <si>
    <t>Exodus</t>
  </si>
  <si>
    <t>EXO</t>
  </si>
  <si>
    <t>Lev</t>
  </si>
  <si>
    <t>Leviticus</t>
  </si>
  <si>
    <t>LEV</t>
  </si>
  <si>
    <t>Num</t>
  </si>
  <si>
    <t>Numbers</t>
  </si>
  <si>
    <t>NUM</t>
  </si>
  <si>
    <t>Deut</t>
  </si>
  <si>
    <t>Deuteronomy</t>
  </si>
  <si>
    <t>DEU</t>
  </si>
  <si>
    <t>Josh</t>
  </si>
  <si>
    <t>Joshua</t>
  </si>
  <si>
    <t>JOS</t>
  </si>
  <si>
    <t>Judg</t>
  </si>
  <si>
    <t>Judges</t>
  </si>
  <si>
    <t>JDG</t>
  </si>
  <si>
    <t>Ruth</t>
  </si>
  <si>
    <t>RUT</t>
  </si>
  <si>
    <t>1Sam</t>
  </si>
  <si>
    <t>1 Samuel</t>
  </si>
  <si>
    <t>1SA</t>
  </si>
  <si>
    <t>2Sam</t>
  </si>
  <si>
    <t>2 Samuel</t>
  </si>
  <si>
    <t>2SA</t>
  </si>
  <si>
    <t>1Kgs</t>
  </si>
  <si>
    <t>1 Kings</t>
  </si>
  <si>
    <t>1KI</t>
  </si>
  <si>
    <t>2Kgs</t>
  </si>
  <si>
    <t>2 Kings</t>
  </si>
  <si>
    <t>2KI</t>
  </si>
  <si>
    <t>1Chr</t>
  </si>
  <si>
    <t>1 Chronicles</t>
  </si>
  <si>
    <t>1CH</t>
  </si>
  <si>
    <t>2Chr</t>
  </si>
  <si>
    <t>2 Chronicles</t>
  </si>
  <si>
    <t>2CH</t>
  </si>
  <si>
    <t>Ezra</t>
  </si>
  <si>
    <t>EZR</t>
  </si>
  <si>
    <t>Neh</t>
  </si>
  <si>
    <t>Nehemiah</t>
  </si>
  <si>
    <t>NEH</t>
  </si>
  <si>
    <t>Esth</t>
  </si>
  <si>
    <t>EST</t>
  </si>
  <si>
    <t>Job</t>
  </si>
  <si>
    <t>JOB</t>
  </si>
  <si>
    <t>Ps</t>
  </si>
  <si>
    <t>Psalms</t>
  </si>
  <si>
    <t>PSA</t>
  </si>
  <si>
    <t>Prov</t>
  </si>
  <si>
    <t>Proverbs</t>
  </si>
  <si>
    <t>PRO</t>
  </si>
  <si>
    <t>Eccl</t>
  </si>
  <si>
    <t>Ecclesiastes</t>
  </si>
  <si>
    <t>ECC</t>
  </si>
  <si>
    <t>Song</t>
  </si>
  <si>
    <t>Song of Solomon</t>
  </si>
  <si>
    <t>SNG</t>
  </si>
  <si>
    <t>Isa</t>
  </si>
  <si>
    <t>Isaiah</t>
  </si>
  <si>
    <t>ISA</t>
  </si>
  <si>
    <t>Jer</t>
  </si>
  <si>
    <t>Jeremiah</t>
  </si>
  <si>
    <t>JER</t>
  </si>
  <si>
    <t>Lam</t>
  </si>
  <si>
    <t>Lamentations</t>
  </si>
  <si>
    <t>LAM</t>
  </si>
  <si>
    <t>Ezek</t>
  </si>
  <si>
    <t>Ezekiel</t>
  </si>
  <si>
    <t>EZK</t>
  </si>
  <si>
    <t>Dan</t>
  </si>
  <si>
    <t>Daniel</t>
  </si>
  <si>
    <t>DAN</t>
  </si>
  <si>
    <t>Hos</t>
  </si>
  <si>
    <t>Hosea</t>
  </si>
  <si>
    <t>HOS</t>
  </si>
  <si>
    <t>Joel</t>
  </si>
  <si>
    <t>JOL</t>
  </si>
  <si>
    <t>Amos</t>
  </si>
  <si>
    <t>AMO</t>
  </si>
  <si>
    <t>Obad</t>
  </si>
  <si>
    <t>Obadiah</t>
  </si>
  <si>
    <t>OBA</t>
  </si>
  <si>
    <t>Jonah</t>
  </si>
  <si>
    <t>JON</t>
  </si>
  <si>
    <t>Mic</t>
  </si>
  <si>
    <t>Micah</t>
  </si>
  <si>
    <t>MIC</t>
  </si>
  <si>
    <t>Nah</t>
  </si>
  <si>
    <t>Nahum</t>
  </si>
  <si>
    <t>NAM</t>
  </si>
  <si>
    <t>Hab</t>
  </si>
  <si>
    <t>Habakkuk</t>
  </si>
  <si>
    <t>HAB</t>
  </si>
  <si>
    <t>Zeph</t>
  </si>
  <si>
    <t>Zephaniah</t>
  </si>
  <si>
    <t>ZEP</t>
  </si>
  <si>
    <t>Hag</t>
  </si>
  <si>
    <t>Haggai</t>
  </si>
  <si>
    <t>HAG</t>
  </si>
  <si>
    <t>Zech</t>
  </si>
  <si>
    <t>Zechariah</t>
  </si>
  <si>
    <t>ZEC</t>
  </si>
  <si>
    <t>Mal</t>
  </si>
  <si>
    <t>Malachi</t>
  </si>
  <si>
    <t>MAL</t>
  </si>
  <si>
    <t>Matt</t>
  </si>
  <si>
    <t>Matthew</t>
  </si>
  <si>
    <t>MAT</t>
  </si>
  <si>
    <t>Mark</t>
  </si>
  <si>
    <t>MRK</t>
  </si>
  <si>
    <t>Luke</t>
  </si>
  <si>
    <t>LUK</t>
  </si>
  <si>
    <t>John</t>
  </si>
  <si>
    <t>JHN</t>
  </si>
  <si>
    <t>Acts</t>
  </si>
  <si>
    <t>ACT</t>
  </si>
  <si>
    <t>Rom</t>
  </si>
  <si>
    <t>Romans</t>
  </si>
  <si>
    <t>ROM</t>
  </si>
  <si>
    <t>1Cor</t>
  </si>
  <si>
    <t>1 Corinthians</t>
  </si>
  <si>
    <t>1CO</t>
  </si>
  <si>
    <t>2Cor</t>
  </si>
  <si>
    <t>2 Corinthians</t>
  </si>
  <si>
    <t>2CO</t>
  </si>
  <si>
    <t>Gal</t>
  </si>
  <si>
    <t>Galatians</t>
  </si>
  <si>
    <t>GAL</t>
  </si>
  <si>
    <t>Eph</t>
  </si>
  <si>
    <t>Ephesians</t>
  </si>
  <si>
    <t>EPH</t>
  </si>
  <si>
    <t>Phil</t>
  </si>
  <si>
    <t>Philippians</t>
  </si>
  <si>
    <t>PHP</t>
  </si>
  <si>
    <t>Col</t>
  </si>
  <si>
    <t>Colossians</t>
  </si>
  <si>
    <t>COL</t>
  </si>
  <si>
    <t>1Thess</t>
  </si>
  <si>
    <t>1 Thessalonians</t>
  </si>
  <si>
    <t>1TH</t>
  </si>
  <si>
    <t>2Thess</t>
  </si>
  <si>
    <t>2 Thessalonians</t>
  </si>
  <si>
    <t>2TH</t>
  </si>
  <si>
    <t>1Tim</t>
  </si>
  <si>
    <t>1 Timothy</t>
  </si>
  <si>
    <t>1TI</t>
  </si>
  <si>
    <t>2Tim</t>
  </si>
  <si>
    <t>2 Timothy</t>
  </si>
  <si>
    <t>2TI</t>
  </si>
  <si>
    <t>Titus</t>
  </si>
  <si>
    <t>TIT</t>
  </si>
  <si>
    <t>Phlm</t>
  </si>
  <si>
    <t>Philemon</t>
  </si>
  <si>
    <t>PHM</t>
  </si>
  <si>
    <t>Heb</t>
  </si>
  <si>
    <t>Hebrews</t>
  </si>
  <si>
    <t>HEB</t>
  </si>
  <si>
    <t>Jas</t>
  </si>
  <si>
    <t>James</t>
  </si>
  <si>
    <t>JAS</t>
  </si>
  <si>
    <t>1Pet</t>
  </si>
  <si>
    <t>1 Peter</t>
  </si>
  <si>
    <t>1PE</t>
  </si>
  <si>
    <t>2Pet</t>
  </si>
  <si>
    <t>2 Peter</t>
  </si>
  <si>
    <t>2PE</t>
  </si>
  <si>
    <t>1John</t>
  </si>
  <si>
    <t>1 John</t>
  </si>
  <si>
    <t>1JN</t>
  </si>
  <si>
    <t>2John</t>
  </si>
  <si>
    <t>2 John</t>
  </si>
  <si>
    <t>2JN</t>
  </si>
  <si>
    <t>3John</t>
  </si>
  <si>
    <t>3 John</t>
  </si>
  <si>
    <t>3JN</t>
  </si>
  <si>
    <t>Jude</t>
  </si>
  <si>
    <t>JUD</t>
  </si>
  <si>
    <t>Rev</t>
  </si>
  <si>
    <t>Revelation</t>
  </si>
  <si>
    <t>REV</t>
  </si>
  <si>
    <t>Tob</t>
  </si>
  <si>
    <t>Tobit</t>
  </si>
  <si>
    <t>TOB</t>
  </si>
  <si>
    <t>Jdt</t>
  </si>
  <si>
    <t>Judith</t>
  </si>
  <si>
    <t>JDT</t>
  </si>
  <si>
    <t>EsthGr</t>
  </si>
  <si>
    <t>ESG</t>
  </si>
  <si>
    <t>AddEsth</t>
  </si>
  <si>
    <t>Additions to Esther</t>
  </si>
  <si>
    <t>ADE</t>
  </si>
  <si>
    <t>Wis</t>
  </si>
  <si>
    <t>Wisdom</t>
  </si>
  <si>
    <t>WIS</t>
  </si>
  <si>
    <t>Sir</t>
  </si>
  <si>
    <t>Sirach</t>
  </si>
  <si>
    <t>SIR</t>
  </si>
  <si>
    <t>Bar</t>
  </si>
  <si>
    <t>Baruch</t>
  </si>
  <si>
    <t>BAR</t>
  </si>
  <si>
    <t>EpJer</t>
  </si>
  <si>
    <t>LJE</t>
  </si>
  <si>
    <t>DanGr</t>
  </si>
  <si>
    <t>DAG</t>
  </si>
  <si>
    <t>AddDan</t>
  </si>
  <si>
    <t>Additions to Daniel</t>
  </si>
  <si>
    <t>PrAzar</t>
  </si>
  <si>
    <t>Prayer of Azariah</t>
  </si>
  <si>
    <t>S3Y</t>
  </si>
  <si>
    <t>Sus</t>
  </si>
  <si>
    <t>Susanna</t>
  </si>
  <si>
    <t>SUS</t>
  </si>
  <si>
    <t>Bel</t>
  </si>
  <si>
    <t>Bel and the Dragon</t>
  </si>
  <si>
    <t>BEL</t>
  </si>
  <si>
    <t>1Macc</t>
  </si>
  <si>
    <t>1 Maccabees</t>
  </si>
  <si>
    <t>1MA</t>
  </si>
  <si>
    <t>2Macc</t>
  </si>
  <si>
    <t>2 Maccabees</t>
  </si>
  <si>
    <t>2MA</t>
  </si>
  <si>
    <t>3Macc</t>
  </si>
  <si>
    <t>3 Maccabees</t>
  </si>
  <si>
    <t>3MA</t>
  </si>
  <si>
    <t>4Macc</t>
  </si>
  <si>
    <t>4 Maccabees</t>
  </si>
  <si>
    <t>4MA</t>
  </si>
  <si>
    <t>PrMan</t>
  </si>
  <si>
    <t>Prayer of Manasseh</t>
  </si>
  <si>
    <t>MAN</t>
  </si>
  <si>
    <t>1Esd</t>
  </si>
  <si>
    <t>1 Esdras</t>
  </si>
  <si>
    <t>1ES</t>
  </si>
  <si>
    <t>2Esd</t>
  </si>
  <si>
    <t>2 Esdras</t>
  </si>
  <si>
    <t>2ES</t>
  </si>
  <si>
    <t>AddPs</t>
  </si>
  <si>
    <t>PS2</t>
  </si>
  <si>
    <t>Odes</t>
  </si>
  <si>
    <t>ODA</t>
  </si>
  <si>
    <t>PssSol</t>
  </si>
  <si>
    <t>Psalms of Solomon</t>
  </si>
  <si>
    <t>PSS</t>
  </si>
  <si>
    <t>JoshA</t>
  </si>
  <si>
    <t>JSA</t>
  </si>
  <si>
    <t>JudgB</t>
  </si>
  <si>
    <t>JDB</t>
  </si>
  <si>
    <t>TobS</t>
  </si>
  <si>
    <t>TBS</t>
  </si>
  <si>
    <t>SusTh</t>
  </si>
  <si>
    <t>SST</t>
  </si>
  <si>
    <t>DanTh</t>
  </si>
  <si>
    <t>DNT</t>
  </si>
  <si>
    <t>BelTh</t>
  </si>
  <si>
    <t>BLT</t>
  </si>
  <si>
    <t>EpLao</t>
  </si>
  <si>
    <t>Epistle to the Laodiceans</t>
  </si>
  <si>
    <t>LAO</t>
  </si>
  <si>
    <t>5Ezra</t>
  </si>
  <si>
    <t>5 Ezra</t>
  </si>
  <si>
    <t>5EZ</t>
  </si>
  <si>
    <t>4Ezra</t>
  </si>
  <si>
    <t>4 Ezra</t>
  </si>
  <si>
    <t>EZA</t>
  </si>
  <si>
    <t>6Ezra</t>
  </si>
  <si>
    <t>6 Ezra</t>
  </si>
  <si>
    <t>6EZ</t>
  </si>
  <si>
    <t>PrSol</t>
  </si>
  <si>
    <t>PSO</t>
  </si>
  <si>
    <t>PrJer</t>
  </si>
  <si>
    <t>PJE</t>
  </si>
  <si>
    <t>1En</t>
  </si>
  <si>
    <t>1 Enoch</t>
  </si>
  <si>
    <t>ENO</t>
  </si>
  <si>
    <t>Jub</t>
  </si>
  <si>
    <t>Jubilees</t>
  </si>
  <si>
    <t>JUB</t>
  </si>
  <si>
    <t>4Bar</t>
  </si>
  <si>
    <t>4 Baruch</t>
  </si>
  <si>
    <t>4BA</t>
  </si>
  <si>
    <t>1Meq</t>
  </si>
  <si>
    <t>1MQ</t>
  </si>
  <si>
    <t>2Meq</t>
  </si>
  <si>
    <t>2MQ</t>
  </si>
  <si>
    <t>3Meq</t>
  </si>
  <si>
    <t>3MQ</t>
  </si>
  <si>
    <t>Rep</t>
  </si>
  <si>
    <t>REP</t>
  </si>
  <si>
    <t>AddJer</t>
  </si>
  <si>
    <t>Additions to Jeremiah</t>
  </si>
  <si>
    <t>PsJos</t>
  </si>
  <si>
    <t>EpCorPaul</t>
  </si>
  <si>
    <t>COP</t>
  </si>
  <si>
    <t>3Cor</t>
  </si>
  <si>
    <t>3 Corinthians</t>
  </si>
  <si>
    <t>3CO</t>
  </si>
  <si>
    <t>WSir</t>
  </si>
  <si>
    <t>WSI</t>
  </si>
  <si>
    <t>PrEuth</t>
  </si>
  <si>
    <t>EUT</t>
  </si>
  <si>
    <t>DormJohn</t>
  </si>
  <si>
    <t>DOJ</t>
  </si>
  <si>
    <t>JosAsen</t>
  </si>
  <si>
    <t>Joseph and Asenath</t>
  </si>
  <si>
    <t>T12Patr</t>
  </si>
  <si>
    <t>Testaments of the Twelve Patriarchs (composed of:)</t>
  </si>
  <si>
    <t>Testament of Asher</t>
  </si>
  <si>
    <t>Testament of Benjamin</t>
  </si>
  <si>
    <t>Testament of Dan</t>
  </si>
  <si>
    <t>Testament of Gad</t>
  </si>
  <si>
    <t>Testament of Issachar</t>
  </si>
  <si>
    <t>Testament of Joseph</t>
  </si>
  <si>
    <t>Testament of Judah</t>
  </si>
  <si>
    <t>Testament of Levi</t>
  </si>
  <si>
    <t>Testament of Naphtali</t>
  </si>
  <si>
    <t>Testament of Reuben</t>
  </si>
  <si>
    <t>Testament of Simeon</t>
  </si>
  <si>
    <t>Testament of Zebulun</t>
  </si>
  <si>
    <t>2Bar</t>
  </si>
  <si>
    <t>2 Baruch</t>
  </si>
  <si>
    <t>2BA</t>
  </si>
  <si>
    <t>EpBar</t>
  </si>
  <si>
    <t>LBA</t>
  </si>
  <si>
    <t>5ApocSyrPss</t>
  </si>
  <si>
    <t>Additional Syriac Psalms</t>
  </si>
  <si>
    <t>PS3</t>
  </si>
  <si>
    <t>JosephusJWvi</t>
  </si>
  <si>
    <t>1Clem</t>
  </si>
  <si>
    <t>1 Clement</t>
  </si>
  <si>
    <t>1CL</t>
  </si>
  <si>
    <t>2Clem</t>
  </si>
  <si>
    <t>2 Clement</t>
  </si>
  <si>
    <t>2CL</t>
  </si>
  <si>
    <t>IgnEph</t>
  </si>
  <si>
    <t>Ignatius to the Ephesians</t>
  </si>
  <si>
    <t>IgnMagn</t>
  </si>
  <si>
    <t>Ignatius to the Magnesians</t>
  </si>
  <si>
    <t>IgnTrall</t>
  </si>
  <si>
    <t>Ignatius to the Trallians</t>
  </si>
  <si>
    <t>IgnRom</t>
  </si>
  <si>
    <t>Ignatius to the Romans</t>
  </si>
  <si>
    <t>IgnPhld</t>
  </si>
  <si>
    <t>Ignatius to the Philadelphians</t>
  </si>
  <si>
    <t>IgnSmyrn</t>
  </si>
  <si>
    <t>Ignatius to the Smyrnaeans</t>
  </si>
  <si>
    <t>IgnPol</t>
  </si>
  <si>
    <t>Ignatius to Polycarp</t>
  </si>
  <si>
    <t>PolPhil</t>
  </si>
  <si>
    <t>Polycarp to the Philippians</t>
  </si>
  <si>
    <t>MartPol</t>
  </si>
  <si>
    <t>Martyrdom of Polycarp</t>
  </si>
  <si>
    <t>Did</t>
  </si>
  <si>
    <t>Didache</t>
  </si>
  <si>
    <t>DID</t>
  </si>
  <si>
    <t>Barn</t>
  </si>
  <si>
    <t>Barnabas</t>
  </si>
  <si>
    <t>Herm</t>
  </si>
  <si>
    <t>SHE</t>
  </si>
  <si>
    <t>Herm.Mand</t>
  </si>
  <si>
    <t>Shepherd of Hermas, Mandates</t>
  </si>
  <si>
    <t>Herm.Sim</t>
  </si>
  <si>
    <t>Shepherd of Hermas, Similitudes</t>
  </si>
  <si>
    <t>Herm.Vis</t>
  </si>
  <si>
    <t>Shepherd of Hermas, Visions</t>
  </si>
  <si>
    <t>Diogn</t>
  </si>
  <si>
    <t>Diognetus</t>
  </si>
  <si>
    <t>AposCreed</t>
  </si>
  <si>
    <t>PapFrag</t>
  </si>
  <si>
    <t>RelElders</t>
  </si>
  <si>
    <t>QuadFrag</t>
  </si>
  <si>
    <t>TatDiat</t>
  </si>
  <si>
    <t>Diatessaron</t>
  </si>
  <si>
    <t>PsMet</t>
  </si>
  <si>
    <t>PSB</t>
  </si>
  <si>
    <t>Greek Esther</t>
  </si>
  <si>
    <t>Sirach Prologue</t>
  </si>
  <si>
    <t>Greek Daniel</t>
  </si>
  <si>
    <t>Psalm 151</t>
  </si>
  <si>
    <t>Joshua A</t>
  </si>
  <si>
    <t>Judges B</t>
  </si>
  <si>
    <t>Tobit S</t>
  </si>
  <si>
    <t>Susanna θ</t>
  </si>
  <si>
    <t>Daniel θ</t>
  </si>
  <si>
    <t>Bel and the Dragon θ</t>
  </si>
  <si>
    <t>Prayer of Solomon</t>
  </si>
  <si>
    <t>Prayer of Jeremiah</t>
  </si>
  <si>
    <t>1 Meqabyan</t>
  </si>
  <si>
    <t>2 Meqabyan</t>
  </si>
  <si>
    <t>3 Meqabyan</t>
  </si>
  <si>
    <t>Reproof</t>
  </si>
  <si>
    <t>Pseudo-Josephus</t>
  </si>
  <si>
    <t>Epistle of the Corinthians to Paul</t>
  </si>
  <si>
    <t>Words of Sirach</t>
  </si>
  <si>
    <t>Prayer of Euthalius</t>
  </si>
  <si>
    <t>Dormition of John</t>
  </si>
  <si>
    <t>Letter of Baruch</t>
  </si>
  <si>
    <t>Josephus' Jewish War VI</t>
  </si>
  <si>
    <t>Apostles' Creed</t>
  </si>
  <si>
    <t>Fragments of Papias</t>
  </si>
  <si>
    <t>Reliques of the Elders</t>
  </si>
  <si>
    <t>Fragment of Quadratus</t>
  </si>
  <si>
    <t>Metrical Psalms</t>
  </si>
  <si>
    <t>fullName</t>
  </si>
  <si>
    <t>aliases</t>
  </si>
  <si>
    <t>paratext</t>
  </si>
  <si>
    <t>Esther</t>
  </si>
  <si>
    <t>Shepherd of Hermas</t>
  </si>
  <si>
    <t>1 Nephi</t>
  </si>
  <si>
    <t>1Ne</t>
  </si>
  <si>
    <t>2 Nephi</t>
  </si>
  <si>
    <t>2Ne</t>
  </si>
  <si>
    <t>Jacob</t>
  </si>
  <si>
    <t>Jac</t>
  </si>
  <si>
    <t>Enos</t>
  </si>
  <si>
    <t>Omni</t>
  </si>
  <si>
    <t>Words of Mormon</t>
  </si>
  <si>
    <t>WoM</t>
  </si>
  <si>
    <t>Jar</t>
  </si>
  <si>
    <t>Mosiah</t>
  </si>
  <si>
    <t>Alma</t>
  </si>
  <si>
    <t>Helaman</t>
  </si>
  <si>
    <t>Hel</t>
  </si>
  <si>
    <t>3 Nephi</t>
  </si>
  <si>
    <t>3Ne</t>
  </si>
  <si>
    <t>4 Nephi</t>
  </si>
  <si>
    <t>4Ne</t>
  </si>
  <si>
    <t>Mormon</t>
  </si>
  <si>
    <t>Morm</t>
  </si>
  <si>
    <t>Moroni</t>
  </si>
  <si>
    <t>Ether</t>
  </si>
  <si>
    <t>Eth</t>
  </si>
  <si>
    <t>Mosi</t>
  </si>
  <si>
    <t>Moro</t>
  </si>
  <si>
    <t>Pearl of Great Price</t>
  </si>
  <si>
    <t>Moses</t>
  </si>
  <si>
    <t>Mos</t>
  </si>
  <si>
    <t>["Tatian's Diatessaron","Tatian"]</t>
  </si>
  <si>
    <t>["5 Apocryphal Syriac Psalms"]</t>
  </si>
  <si>
    <t>["(Syriac) Apocalypse of Baruch"]</t>
  </si>
  <si>
    <t>Abraham</t>
  </si>
  <si>
    <t>Abr</t>
  </si>
  <si>
    <t>Articles of Faith</t>
  </si>
  <si>
    <t>AofF</t>
  </si>
  <si>
    <t>JSH</t>
  </si>
  <si>
    <t>JSM</t>
  </si>
  <si>
    <t>Groups</t>
  </si>
  <si>
    <t>D&amp;C</t>
  </si>
  <si>
    <t>Jarom</t>
  </si>
  <si>
    <t>["New Testament", "Bible", "Gospels"]</t>
  </si>
  <si>
    <t>["New Testament", "Bible"]</t>
  </si>
  <si>
    <t>["New Testament", "Bible", "Pauline Epistles"]</t>
  </si>
  <si>
    <t>["Deuterocannon", "Apocrypha"]</t>
  </si>
  <si>
    <t>["Vulgate", "Apocrypha"]</t>
  </si>
  <si>
    <t>["Syriac Orthodox Canon", "Apocrypha"]</t>
  </si>
  <si>
    <t>["Apostolic Fathers", "Apocrypha"]</t>
  </si>
  <si>
    <t>["Apocrypha", "Apocrypha"]</t>
  </si>
  <si>
    <t>["Book of Mormon", "Small Plates of Nephi", "LDS"]</t>
  </si>
  <si>
    <t>["Book of Mormon", "LDS","Mormon"]</t>
  </si>
  <si>
    <t>["Book of Mormon", "LDS", "Mormon", "Large Plates of Nephi", "Abridgement"]</t>
  </si>
  <si>
    <t>["Pearl of Great Price", "Inspired Translation", "Joseph Smith Translation", "JST", "Joseph Smith", "LDS"]</t>
  </si>
  <si>
    <t>["Pearl of Great Price", "LDS", "Joseph Smith"]</t>
  </si>
  <si>
    <t>["He", "Hlm", "Helm"]</t>
  </si>
  <si>
    <t>["4 Ne", "4th Nephi", "Fourth Nephi","IV Nephi"]</t>
  </si>
  <si>
    <t>["AofF"]</t>
  </si>
  <si>
    <t>["Canticle of Canticles","Song","SNG","Solomon's Song"]</t>
  </si>
  <si>
    <t>["Rahlfs' variant books", "Apocrypha"]</t>
  </si>
  <si>
    <t>["Rahlfs' LXX", "Apocrypha"]</t>
  </si>
  <si>
    <t>Chapters Label</t>
  </si>
  <si>
    <t>Chapter</t>
  </si>
  <si>
    <t>Section</t>
  </si>
  <si>
    <t>["3 Ne", "3rd Nephi", "Third Nephi","III Nephi"]</t>
  </si>
  <si>
    <t>Verses Label</t>
  </si>
  <si>
    <t>Verse</t>
  </si>
  <si>
    <t>Article</t>
  </si>
  <si>
    <t>Subtitle</t>
  </si>
  <si>
    <t>workOsisID</t>
  </si>
  <si>
    <t>chapterOsisID</t>
  </si>
  <si>
    <t>KJVA</t>
  </si>
  <si>
    <t>KJV</t>
  </si>
  <si>
    <t>BofM</t>
  </si>
  <si>
    <t>PGP</t>
  </si>
  <si>
    <t>Another Testament of Jesus Christ</t>
  </si>
  <si>
    <t>The First Book of Moses called Genesis</t>
  </si>
  <si>
    <t>The Second Book of Moses, called Exodus</t>
  </si>
  <si>
    <t>The Third Book of Moses, called Leviticus</t>
  </si>
  <si>
    <t>The Fourth Book of Moses, called Numbers</t>
  </si>
  <si>
    <t>The Fifth Book of Moses, called Deuteronomy</t>
  </si>
  <si>
    <t>The Gospel According to St. Matthew</t>
  </si>
  <si>
    <t>The Gospel According to St. Mark</t>
  </si>
  <si>
    <t>The Gospel According to St. Luke</t>
  </si>
  <si>
    <t>The Gospel According to St. John</t>
  </si>
  <si>
    <t>The Acts of the Apostles</t>
  </si>
  <si>
    <t xml:space="preserve">The Epistle of Paul to the Romans </t>
  </si>
  <si>
    <t xml:space="preserve">The First Epistle of Paul to the Corinthians </t>
  </si>
  <si>
    <t xml:space="preserve">The Second Epistle of Paul to the Corinthians </t>
  </si>
  <si>
    <t xml:space="preserve">The Epistle of Paul to the Galatians </t>
  </si>
  <si>
    <t xml:space="preserve">The Epistle of Paul to the Ephesians </t>
  </si>
  <si>
    <t xml:space="preserve">The Epistle of Paul to the Philippians </t>
  </si>
  <si>
    <t xml:space="preserve">The Epistle of Paul to the Colossians </t>
  </si>
  <si>
    <t xml:space="preserve">The First Epistle of Paul to the Thessalonians </t>
  </si>
  <si>
    <t xml:space="preserve">The Second Epistle of Paul to the Thessalonians </t>
  </si>
  <si>
    <t xml:space="preserve">The First Epistle of Paul to Timothy </t>
  </si>
  <si>
    <t xml:space="preserve">The Second Epistle of Paul to Timothy </t>
  </si>
  <si>
    <t xml:space="preserve">The Epistle of Paul to Titus </t>
  </si>
  <si>
    <t xml:space="preserve">The Epistle of Paul to Philemon </t>
  </si>
  <si>
    <t xml:space="preserve">The Epistle to the Hebrews </t>
  </si>
  <si>
    <t xml:space="preserve">The General Epistle of James </t>
  </si>
  <si>
    <t xml:space="preserve">The First Epistle of Peter </t>
  </si>
  <si>
    <t xml:space="preserve">The Second Epistle of Peter </t>
  </si>
  <si>
    <t xml:space="preserve">The First Epistle of John </t>
  </si>
  <si>
    <t xml:space="preserve">The Second Epistle of John </t>
  </si>
  <si>
    <t xml:space="preserve">The Third Epistle of John </t>
  </si>
  <si>
    <t xml:space="preserve">The Epistle of Jude </t>
  </si>
  <si>
    <t xml:space="preserve">The Revelation of Jesus Christ (or The Apocalypse of John) </t>
  </si>
  <si>
    <t>The Rest of the Chapters of the Book of Esther, which are found neither in the Hebrew, nor in the Chaldee</t>
  </si>
  <si>
    <t>The Wisdom of Jesus the Son of Sirach</t>
  </si>
  <si>
    <t>Baruch the Prophet</t>
  </si>
  <si>
    <t>Song of the Three Holy Children</t>
  </si>
  <si>
    <t>History of Susanna</t>
  </si>
  <si>
    <t>The Prayer of Manasses King of Juda, when he was holden captive in Babylon</t>
  </si>
  <si>
    <t>The First Epistle of Clement: To the Church of God at Corinth</t>
  </si>
  <si>
    <t>The Second Epistle of Clement</t>
  </si>
  <si>
    <t>The Epistle of Ignatius to the Ephesians</t>
  </si>
  <si>
    <t>The Epistle of Ignatius to the Magnesians</t>
  </si>
  <si>
    <t>The Epistle of Ignatius to the Trallians</t>
  </si>
  <si>
    <t>The Epistle of Ignatius to the Romans</t>
  </si>
  <si>
    <t>The Epistle of Ignatius to the Philadelphians</t>
  </si>
  <si>
    <t>TAsh</t>
  </si>
  <si>
    <t>TBenj</t>
  </si>
  <si>
    <t>TDan</t>
  </si>
  <si>
    <t>TGad</t>
  </si>
  <si>
    <t>TIss</t>
  </si>
  <si>
    <t>TJos</t>
  </si>
  <si>
    <t>TJud</t>
  </si>
  <si>
    <t>TLevi</t>
  </si>
  <si>
    <t>TNaph</t>
  </si>
  <si>
    <t>TReu</t>
  </si>
  <si>
    <t>TSim</t>
  </si>
  <si>
    <t>TZeb</t>
  </si>
  <si>
    <t>The Epistle of Ignatius to the Smyrnaeans</t>
  </si>
  <si>
    <t>The Epistle of Ignatius to Polycarp</t>
  </si>
  <si>
    <t>The Epistle of Polycarp to the Philippians</t>
  </si>
  <si>
    <t>The Martyrdom of St. Polycarp</t>
  </si>
  <si>
    <t>The Epistle of Barnabas</t>
  </si>
  <si>
    <t>The Lord's Teaching Through the Twelve Apostles to the Nations</t>
  </si>
  <si>
    <t>The Shepherd of Hermas</t>
  </si>
  <si>
    <t>The Shepherd of Hermas - 12 Commandments</t>
  </si>
  <si>
    <t>The Shepherd of Hermas - 10 Parables</t>
  </si>
  <si>
    <t>The Shepherd of Hermas - 5 visions</t>
  </si>
  <si>
    <t>The Epistle to Diognetus</t>
  </si>
  <si>
    <t>Fragments of the Writings of Papias of Hierapolis</t>
  </si>
  <si>
    <t>Fragment of the Apology of Quadratus of Athens</t>
  </si>
  <si>
    <t>The First Book of Kings</t>
  </si>
  <si>
    <t>The Second Book of Kings</t>
  </si>
  <si>
    <t>The First Book of Chronicles</t>
  </si>
  <si>
    <t>The Second Book of Chronicals</t>
  </si>
  <si>
    <t>The Wisdom of Solomon</t>
  </si>
  <si>
    <t>The Epistle of Jeremiah</t>
  </si>
  <si>
    <t>Epistle of Jeremiah</t>
  </si>
  <si>
    <t>The Second Book of the Maccabees</t>
  </si>
  <si>
    <t>The Fourth Book of the Maccabees</t>
  </si>
  <si>
    <t>The Third Book of the Maccabees</t>
  </si>
  <si>
    <t>The First Book of the Maccabees</t>
  </si>
  <si>
    <t>The First Book of Esdras</t>
  </si>
  <si>
    <t>The Second Book of Esdras</t>
  </si>
  <si>
    <t>Selections from the Book of Moses</t>
  </si>
  <si>
    <t>Translated from the Papyrus, by Joseph Smith</t>
  </si>
  <si>
    <t>An extract from the translation of the Bible as revealed to Joseph Smith the Prophet in 1831: Matthew 23:39 and chapter 24</t>
  </si>
  <si>
    <t>Extracts from the History of Joseph Smith, the Prophet</t>
  </si>
  <si>
    <t>of The Church of Jesus Christ of Latter-day Saints</t>
  </si>
  <si>
    <t>Doctrine and Covenants</t>
  </si>
  <si>
    <t>["Doctrine and Covenants","LDS"]</t>
  </si>
  <si>
    <t>Joseph Smith—History</t>
  </si>
  <si>
    <t>Joseph Smith—Matthew</t>
  </si>
  <si>
    <t>The Holy Bible</t>
  </si>
  <si>
    <t>King James Version</t>
  </si>
  <si>
    <t>The Holy Bible Apocrypha</t>
  </si>
  <si>
    <t>The Book of Mormon</t>
  </si>
  <si>
    <t>Testaments of the Twelve Patriarchs</t>
  </si>
  <si>
    <t>Work Title</t>
  </si>
  <si>
    <t>Work Subtitle</t>
  </si>
  <si>
    <t>JSON</t>
  </si>
  <si>
    <t>Earliest</t>
  </si>
  <si>
    <t>Latest</t>
  </si>
  <si>
    <t>-0600-01-01</t>
  </si>
  <si>
    <t>-0570-01-01</t>
  </si>
  <si>
    <t>-0588-01-01</t>
  </si>
  <si>
    <t>-0545-01-01</t>
  </si>
  <si>
    <t>-0544-01-01</t>
  </si>
  <si>
    <t>-0421-01-01</t>
  </si>
  <si>
    <t>-0420-01-01</t>
  </si>
  <si>
    <t>-0399-01-01</t>
  </si>
  <si>
    <t>-0361-01-01</t>
  </si>
  <si>
    <t>-0323-01-01</t>
  </si>
  <si>
    <t>-0130-01-01</t>
  </si>
  <si>
    <t>0385-01-01</t>
  </si>
  <si>
    <t>-0091-01-01</t>
  </si>
  <si>
    <t>-0052-01-01</t>
  </si>
  <si>
    <t>-0001-01-01</t>
  </si>
  <si>
    <t>0005-01-01</t>
  </si>
  <si>
    <t>0035-01-01</t>
  </si>
  <si>
    <t>0321-01-01</t>
  </si>
  <si>
    <t>0421-01-01</t>
  </si>
  <si>
    <t>-2200-01-01</t>
  </si>
  <si>
    <t>-0350-01-01</t>
  </si>
  <si>
    <t>0401-01-01</t>
  </si>
  <si>
    <t>Hadith (e.g. Sahih al-Bukhari)</t>
  </si>
  <si>
    <t>Vedas</t>
  </si>
  <si>
    <t>Rig Veda</t>
  </si>
  <si>
    <t>Upanishads</t>
  </si>
  <si>
    <t>Bhagavad Gita</t>
  </si>
  <si>
    <t>Mahabharata</t>
  </si>
  <si>
    <t>Ramayana</t>
  </si>
  <si>
    <t>Agamas (Jain)</t>
  </si>
  <si>
    <t>Ācārāṅga Sūtra</t>
  </si>
  <si>
    <t>Kalpa Sūtra</t>
  </si>
  <si>
    <t>Tripitaka / Pāli Canon</t>
  </si>
  <si>
    <t>Dhammapada</t>
  </si>
  <si>
    <t>Therīgāthā</t>
  </si>
  <si>
    <t>Vinaya Pitaka</t>
  </si>
  <si>
    <t>Tao Te Ching</t>
  </si>
  <si>
    <t>Zhuangzi</t>
  </si>
  <si>
    <t>Analects</t>
  </si>
  <si>
    <t>I Ching (Book of Changes)</t>
  </si>
  <si>
    <t>Shiji (Records of the Grand Historian)</t>
  </si>
  <si>
    <t>Zend Avesta</t>
  </si>
  <si>
    <t>Gathas (Zoroastrian)</t>
  </si>
  <si>
    <t>Pyramid Texts</t>
  </si>
  <si>
    <t>Coffin Texts</t>
  </si>
  <si>
    <t>Book of the Dead (Egyptian)</t>
  </si>
  <si>
    <t>Enuma Elish</t>
  </si>
  <si>
    <t>Epic of Gilgamesh</t>
  </si>
  <si>
    <t>Code of Hammurabi</t>
  </si>
  <si>
    <t>Epic of Atrahasis</t>
  </si>
  <si>
    <t>Ugaritic Baal Cycle</t>
  </si>
  <si>
    <t>Qur'an</t>
  </si>
  <si>
    <t>Aliases</t>
  </si>
  <si>
    <t>["BOM","Book of Mormon"]</t>
  </si>
  <si>
    <t>["The Pearl of Great Price","PGoP"]</t>
  </si>
  <si>
    <t>["D and C", "The Doctrine &amp; Covenants","Doctrine &amp; Covenants", "The Doctrine and Covenants"]</t>
  </si>
  <si>
    <t>["King James Apocrypha"]</t>
  </si>
  <si>
    <t>["The Didache"]</t>
  </si>
  <si>
    <t>["The Testaments of the Twelve Patriarchs","The Testament of the Twelve Patriarchs","The Testament of the 12 Patriarchs","Testament of the Twelve Patriarchs","Testament of the 12 Patriarchs","Testaments of the 12 Patriarchs","12 Patriarchs","The 12 Patriarchs","The Twelve Patriarchs","T 12 Patriarchs", "12 Patr"]</t>
  </si>
  <si>
    <t>["Ex","The Second Book of Moses called Exodus"]</t>
  </si>
  <si>
    <t>["Ge","Gn","The First Book of Moses called Genesis"]</t>
  </si>
  <si>
    <t>["Le","The Third Book of Moses called Leviticus"]</t>
  </si>
  <si>
    <t>["Nu","Nm","Nb","The Fourth Book of Moses called Numbers"]</t>
  </si>
  <si>
    <t>["Deut","Dt","Du","The Fifth Book of Moses called Deuteronomy"]</t>
  </si>
  <si>
    <t>["Judg","Jdg","Jdgs","Jg"]</t>
  </si>
  <si>
    <t>["Rth","Ru"]</t>
  </si>
  <si>
    <t>["The Bible","Bible","Holy Bible"]</t>
  </si>
  <si>
    <t>Authors</t>
  </si>
  <si>
    <t>["Moses"]</t>
  </si>
  <si>
    <t>["Isaiah"]</t>
  </si>
  <si>
    <t>["Jeremiah"]</t>
  </si>
  <si>
    <t>["Ezekiel"]</t>
  </si>
  <si>
    <t>["Daniel"]</t>
  </si>
  <si>
    <t>["St. John"]</t>
  </si>
  <si>
    <t>["Paul"]</t>
  </si>
  <si>
    <t>["St. Luke"]</t>
  </si>
  <si>
    <t>["St. Mark"]</t>
  </si>
  <si>
    <t>["St. Matthew"]</t>
  </si>
  <si>
    <t>["James"]</t>
  </si>
  <si>
    <t>["Peter"]</t>
  </si>
  <si>
    <t>["The Apostle John"]</t>
  </si>
  <si>
    <t>["John the Revelator"]</t>
  </si>
  <si>
    <t>["Nephi"]</t>
  </si>
  <si>
    <t>["Jacob"]</t>
  </si>
  <si>
    <t>["Mormon"]</t>
  </si>
  <si>
    <t>["Abraham"]</t>
  </si>
  <si>
    <t>["Joseph Smith"]</t>
  </si>
  <si>
    <t>hasData</t>
  </si>
  <si>
    <t>[]</t>
  </si>
  <si>
    <t>["Manasseh"]</t>
  </si>
  <si>
    <t>["Azariah"]</t>
  </si>
  <si>
    <t>["Solomon"]</t>
  </si>
  <si>
    <t>["Judith"]</t>
  </si>
  <si>
    <t>["Tobit"]</t>
  </si>
  <si>
    <t>["Jude"]</t>
  </si>
  <si>
    <t>["Asher"]</t>
  </si>
  <si>
    <t>["Benjamin"]</t>
  </si>
  <si>
    <t>["Dan"]</t>
  </si>
  <si>
    <t>["Gad"]</t>
  </si>
  <si>
    <t>["Issachar"]</t>
  </si>
  <si>
    <t>["Joseph"]</t>
  </si>
  <si>
    <t>["Judah"]</t>
  </si>
  <si>
    <t>["Levi"]</t>
  </si>
  <si>
    <t>["Naphtali"]</t>
  </si>
  <si>
    <t>["Reuben"]</t>
  </si>
  <si>
    <t>["Simeon"]</t>
  </si>
  <si>
    <t>["Zebulun"]</t>
  </si>
  <si>
    <t>["Baruch"]</t>
  </si>
  <si>
    <t>["Josephus"]</t>
  </si>
  <si>
    <t>["Polycarp"]</t>
  </si>
  <si>
    <t>["Barnabas"]</t>
  </si>
  <si>
    <t>["Enos"]</t>
  </si>
  <si>
    <t>["Jarom"]</t>
  </si>
  <si>
    <t>["Omni","Chemish","Abinadom","Amaleki"]</t>
  </si>
  <si>
    <t>["Ezra"]</t>
  </si>
  <si>
    <t>["Enoch"]</t>
  </si>
  <si>
    <t>["Euthalius"]</t>
  </si>
  <si>
    <t>["John"]</t>
  </si>
  <si>
    <t>["Joshua"]</t>
  </si>
  <si>
    <t>["St Matthew","St. Matthew","Saint Matthew","The Gospel According to St Matthew","The Gospel According to St. Matthew","The Gospel According to Saint Matthew"]</t>
  </si>
  <si>
    <t>["St Mark","St. Mark","Saint Mark","The Gospel According to St Mark","The Gospel According to St. Mark","The Gospel According to Saint Mark"]</t>
  </si>
  <si>
    <t>["St Luke","St. Luke","Saint Luke","The Gospel According to St Luke","The Gospel According to St. Luke","The Gospel According to Saint Luke"]</t>
  </si>
  <si>
    <t>["St John","St. John","Saint John","The Gospel According to St John","The Gospel According to St. John","The Gospel According to Saint John"]</t>
  </si>
  <si>
    <t>Who Is the Son of Nephi—One of the Disciples of Jesus Christ</t>
  </si>
  <si>
    <t>the Son of Nephi, Who Was the Son of Helaman</t>
  </si>
  <si>
    <t>the Brother of Nephi</t>
  </si>
  <si>
    <t>the Son of Alma</t>
  </si>
  <si>
    <t>The record of the Jaredites, taken from the twenty-four plates found by the people of Limhi in the days of King Mosiah.</t>
  </si>
  <si>
    <t>traditions</t>
  </si>
  <si>
    <t>traditionFamilies</t>
  </si>
  <si>
    <t>["Josh"]</t>
  </si>
  <si>
    <t>["Wisdom of Solomon"]</t>
  </si>
  <si>
    <t>["Ecclesiasticus"]</t>
  </si>
  <si>
    <t>["Ezra Apocalypse"]</t>
  </si>
  <si>
    <t>["Ethiopic Apocalypse of Enoch","Ethiopic Enoch"]</t>
  </si>
  <si>
    <t>["Paraleipomena Jeremiou"]</t>
  </si>
  <si>
    <t>["Tegsas","Tegsats","Taagsas"]</t>
  </si>
  <si>
    <t>["Rest of Jeremiah"]</t>
  </si>
  <si>
    <t>["Jossipon","Joseph ben Gorion's Medieval History of the Jews"]</t>
  </si>
  <si>
    <t>["1 Ne", "1st Nephi", "First Nephi", "The First Book of Nephi","I Nephi"]</t>
  </si>
  <si>
    <t>["2 Ne", "2nd Nephi", "Second Nephi", "The Second Book of Nephi", "II Nephi"]</t>
  </si>
  <si>
    <t>["Mmn"]</t>
  </si>
  <si>
    <t>["Mni"]</t>
  </si>
  <si>
    <t>["The Book of Moses"]</t>
  </si>
  <si>
    <t>["The Book of Abraham"]</t>
  </si>
  <si>
    <t>["JSH", "JS-H", "Joseph Smith History","Joseph Smith--History"]</t>
  </si>
  <si>
    <t>["JSM","JS-M",  "Joseph Smith Matthew","Joseph Smith--Matthew"]</t>
  </si>
  <si>
    <t>["Ez"]</t>
  </si>
  <si>
    <t>["Qohelet"]</t>
  </si>
  <si>
    <t>["1 Sam","1 Sm","1 Sa","1 S","I Sam","I Sa","1Sam","1Sa","1S","1st Samuel","1st Sam","First Samuel","First Sam"]</t>
  </si>
  <si>
    <t>["2 Sam","2 Sm","2 Sa","2 S","II Sam","II Sa","2Sam","2Sa","2S","2nd Samuel","2nd Sam","Second Samuel","Second Sam"]</t>
  </si>
  <si>
    <t>["1 Kgs","1 Ki","1Kin","1K","I Kgs","I Ki","1st Kings","1st Kgs","First Kings","First Kgs"]</t>
  </si>
  <si>
    <t>["2 Kgs","2 Ki","2Kin","2K","II Kgs","II Ki","2nd Kings","2nd Kgs","Second Kings","Second Kgs"]</t>
  </si>
  <si>
    <t>["1 Chron","1 Chr","1 Ch","1Chron","1Chr","1Ch","I Chron","I Chr","I Ch","1st Chronicles","1st Chron","First Chronicles","First Chron"]</t>
  </si>
  <si>
    <t>["2 Chron","2 Chr","2 Ch","2Chron","2Chr","2Ch","II Chron","II Chr","II Ch","2nd Chronicles","2nd Chron","Second Chronicles","Second Chron"]</t>
  </si>
  <si>
    <t>["Ne"]</t>
  </si>
  <si>
    <t>["Es"]</t>
  </si>
  <si>
    <t>["Jb"]</t>
  </si>
  <si>
    <t>["Psalm","Pslm","Psm","Pss"]</t>
  </si>
  <si>
    <t>["Prv","Pv"]</t>
  </si>
  <si>
    <t>["Is"]</t>
  </si>
  <si>
    <t>["Je","Jr"]</t>
  </si>
  <si>
    <t>Apostolic Fathers</t>
  </si>
  <si>
    <t>Rahlf</t>
  </si>
  <si>
    <t>Sources</t>
  </si>
  <si>
    <t>https://wiki.crosswire.org/OSIS_Book_Abbreviations</t>
  </si>
  <si>
    <t>Fathers</t>
  </si>
  <si>
    <t>Translated by J.  B. Lightfoot</t>
  </si>
  <si>
    <t>["The Apostolic Fathers"]</t>
  </si>
  <si>
    <t>["La"]</t>
  </si>
  <si>
    <t>["Ezk"]</t>
  </si>
  <si>
    <t>["Da","Dn"]</t>
  </si>
  <si>
    <t>["Ho"]</t>
  </si>
  <si>
    <t>["Jl"]</t>
  </si>
  <si>
    <t>["Am"]</t>
  </si>
  <si>
    <t>["Ob"]</t>
  </si>
  <si>
    <t>["Mc"]</t>
  </si>
  <si>
    <t>["Nh","Nhm"]</t>
  </si>
  <si>
    <t>["Hb"]</t>
  </si>
  <si>
    <t>["Zp"]</t>
  </si>
  <si>
    <t>["Hg","Hgi","Hagi"]</t>
  </si>
  <si>
    <t>["Zc"]</t>
  </si>
  <si>
    <t>["Ml"]</t>
  </si>
  <si>
    <t>["Ac"]</t>
  </si>
  <si>
    <t>["Ro","Rm"]</t>
  </si>
  <si>
    <t>["1 Cor","1 Co","I Cor","I Co","1Cor","1Co","I Corinthians","1Corinthians","1st Corinthians","First Corinthians"]</t>
  </si>
  <si>
    <t>["2 Cor","2 Co","II Cor","II Co","2Cor","2Co","II Corinthians","2Corinthians","2nd Corinthians","Second Corinthians"]</t>
  </si>
  <si>
    <t>["Ga"]</t>
  </si>
  <si>
    <t>["Ephes","Ep"]</t>
  </si>
  <si>
    <t>["Pp"]</t>
  </si>
  <si>
    <t>["Co"]</t>
  </si>
  <si>
    <t>["1 Thess","1 Thes","1 Th","I Thessalonians","I Thess","I Thes","I Th","1Thessalonians","1Thess","1Thes","1Th","1st Thessalonians","1st Thess","First Thessalonians","First Thess"]</t>
  </si>
  <si>
    <t>["2 Thess","2 Thes","2 Th","II Thessalonians","II Thess","II Thes","II Th","2Thessalonians","2Thess","2Thes","2Th","2nd Thessalonians","2nd Thess","Second Thessalonians","Second Thess"]</t>
  </si>
  <si>
    <t>["1 Tim","1 Ti","I Timothy","I Tim","I Ti","1Timothy","1Tim","1Ti","1st Timothy","1st Tim","First Timothy","First Tim"]</t>
  </si>
  <si>
    <t>["2 Tim","2 Ti","II Timothy","II Tim","II Ti","2Timothy","2Tim","2Ti","2nd Timothy","2nd Tim","Second Timothy","Second Tim"]</t>
  </si>
  <si>
    <t>["Ti","Tts"]</t>
  </si>
  <si>
    <t>["Pm"]</t>
  </si>
  <si>
    <t>["Jm"]</t>
  </si>
  <si>
    <t>["1 Pet","1 Pe","1 Pt","1 P","I Pet","I Pt","I Pe","1Peter","1Pet","1Pe","1Pt","1P","I Peter","1st Peter","First Peter"]</t>
  </si>
  <si>
    <t>["2 Pet","2 Pe","2 Pt","2 P","II Peter","II Pet","II Pt","II Pe","2Peter","2Pet","2Pe","2Pt","2P","2nd Peter","Second Peter"]</t>
  </si>
  <si>
    <t>["1 John","1 Jhn","1 Jn","1 J","1John","1Jhn","1Joh","1Jn","1Jo","1J","I John","I Jhn","I Joh","I Jn","I Jo","1st John","First John"]</t>
  </si>
  <si>
    <t>["2 John","2 Jhn","2 Jn","2 J","2John","2Jhn","2Joh","2Jn","2Jo","2J","II John","II Jhn","II Joh","II Jn","II Jo","2nd John","Second John"]</t>
  </si>
  <si>
    <t>["3 John","3 Jhn","3 Jn","3 J","3John","3Jhn","3Joh","3Jn","3Jo","3J","III John","III Jhn","III Joh","III Jn","III Jo","3rd John","Third John"]</t>
  </si>
  <si>
    <t>["Jd"]</t>
  </si>
  <si>
    <t>["Re","The Revelation"]</t>
  </si>
  <si>
    <t>Traditions</t>
  </si>
  <si>
    <t>["lds"]</t>
  </si>
  <si>
    <t>["protestant","lds","catholic","eastern orthodox","oriental orthodox"]</t>
  </si>
  <si>
    <t>["jewish","protestant","lds","catholic","eastern orthodox", "oriental orthodox"]</t>
  </si>
  <si>
    <t>```</t>
  </si>
  <si>
    <t>Help me categorize and research the series of books below. For the first task, identify the names of the traditions we should use to categorize by tradition. At a minimum, the list should include Protestant, Catholic, Eastern Orthodox, Oriental Orthodox. Identify any others necessary for our categorization. Do not assign categories to each book; only produce a list of categories.</t>
  </si>
  <si>
    <t>Jewish (Masoretic / Tanakh)</t>
  </si>
  <si>
    <t>Second Temple Jewish Literature</t>
  </si>
  <si>
    <t>Protestant</t>
  </si>
  <si>
    <t>Roman Catholic</t>
  </si>
  <si>
    <t>Eastern Orthodox</t>
  </si>
  <si>
    <t>Oriental Orthodox</t>
  </si>
  <si>
    <t>Ethiopian Orthodox Tewahedo</t>
  </si>
  <si>
    <t>Syriac / Assyrian Tradition</t>
  </si>
  <si>
    <t>Early Christian / New Testament Apocrypha</t>
  </si>
  <si>
    <t>Scholarly Categories (Deuterocanonical, Apocrypha, Pseudepigrapha)</t>
  </si>
  <si>
    <t>jeudaism, rabbinic judaism, protestant, roman catholic, eastern orthodox, oriental orthodox, ethiopian orthodox, syriac, assyrian</t>
  </si>
  <si>
    <t>["roman catholic","eastern orthodox","oriental orthodox","ethiopian orthodox"]</t>
  </si>
  <si>
    <t>["eastern orthodox"]</t>
  </si>
  <si>
    <t>["eastern orthodox","oriental orthodox","ethiopian orthodox"]</t>
  </si>
  <si>
    <t>["eastern orthodox","oriental orthodox"]</t>
  </si>
  <si>
    <t>["academic"]</t>
  </si>
  <si>
    <t>["ethiopian orthodox"]</t>
  </si>
  <si>
    <t>["oriental orthodox"]</t>
  </si>
  <si>
    <t>["syriac"]</t>
  </si>
  <si>
    <t>["protestant","roman catholic"]</t>
  </si>
  <si>
    <t>Book</t>
  </si>
  <si>
    <t>Purported Author (JSON array)</t>
  </si>
  <si>
    <t>["Mordecai","Esther"]</t>
  </si>
  <si>
    <t>["Jesus son of Sirach"]</t>
  </si>
  <si>
    <t>["Baruch","Jeremiah"]</t>
  </si>
  <si>
    <t>["David"]</t>
  </si>
  <si>
    <t>["Maccabees"]</t>
  </si>
  <si>
    <t>["Corinthians"]</t>
  </si>
  <si>
    <t>["Joseph","Asenath"]</t>
  </si>
  <si>
    <t>["The Twelve Patriarchs"]</t>
  </si>
  <si>
    <t>["Clement of Rome"]</t>
  </si>
  <si>
    <t>["Ignatius of Antioch"]</t>
  </si>
  <si>
    <t>["Eyewitnesses at Smyrna"]</t>
  </si>
  <si>
    <t>["Hermas"]</t>
  </si>
  <si>
    <t>["The Apostles"]</t>
  </si>
  <si>
    <t>["Papias of Hierapolis"]</t>
  </si>
  <si>
    <t>["Quadratus of Athens"]</t>
  </si>
  <si>
    <t>["Tatian"]</t>
  </si>
  <si>
    <t>["Samuel"]</t>
  </si>
  <si>
    <t>["Samuel","Gad","Nathan"]</t>
  </si>
  <si>
    <t>["Gad","Nathan"]</t>
  </si>
  <si>
    <t>["Nehemiah","Ezra"]</t>
  </si>
  <si>
    <t>["Mordecai"]</t>
  </si>
  <si>
    <t>["Job","Moses"]</t>
  </si>
  <si>
    <t>["David","Asaph","Sons of Korah","Solomon","Moses","Ethan","Heman"]</t>
  </si>
  <si>
    <t>["Solomon","Agur","Lemuel"]</t>
  </si>
  <si>
    <t>["Hosea"]</t>
  </si>
  <si>
    <t>["Joel"]</t>
  </si>
  <si>
    <t>["Amos"]</t>
  </si>
  <si>
    <t>["Obadiah"]</t>
  </si>
  <si>
    <t>["Jonah"]</t>
  </si>
  <si>
    <t>["Micah"]</t>
  </si>
  <si>
    <t>["Nahum"]</t>
  </si>
  <si>
    <t>["Habakkuk"]</t>
  </si>
  <si>
    <t>["Zephaniah"]</t>
  </si>
  <si>
    <t>["Haggai"]</t>
  </si>
  <si>
    <t>["Zechariah"]</t>
  </si>
  <si>
    <t>["Malachi"]</t>
  </si>
  <si>
    <t>["Matthew"]</t>
  </si>
  <si>
    <t>["Mark"]</t>
  </si>
  <si>
    <t>["Luke"]</t>
  </si>
  <si>
    <t>["James the brother of Jesus"]</t>
  </si>
  <si>
    <t>["Old Testament", "Hebrew Bible", "Bible", "Pentatuech", "Torah"]</t>
  </si>
  <si>
    <t>["Hebrew Bible","Old Testament", "Bible"]</t>
  </si>
  <si>
    <t>["Old Testament", "Hebrew Bible", "Bible", "Kings"]</t>
  </si>
  <si>
    <t>["Old Testament", "Hebrew Bible", "Bible", "Persian Period"]</t>
  </si>
  <si>
    <t xml:space="preserve"> Genesis </t>
  </si>
  <si>
    <t xml:space="preserve"> -1000-01-01 </t>
  </si>
  <si>
    <t xml:space="preserve"> -0400-12-31 </t>
  </si>
  <si>
    <t xml:space="preserve"> Mosaic-era traditions later compiled; final form in Persian period via multi-source process (J/E/D/P). </t>
  </si>
  <si>
    <t xml:space="preserve"> Exodus </t>
  </si>
  <si>
    <t xml:space="preserve"> Core saga early; priestly/legal layers and final redaction post-exile. </t>
  </si>
  <si>
    <t xml:space="preserve"> Leviticus </t>
  </si>
  <si>
    <t xml:space="preserve"> -0600-01-01 </t>
  </si>
  <si>
    <t xml:space="preserve"> Priestly/Holiness materials crystallize in exilic–Persian periods. </t>
  </si>
  <si>
    <t xml:space="preserve"> Numbers </t>
  </si>
  <si>
    <t xml:space="preserve"> -0800-01-01 </t>
  </si>
  <si>
    <t xml:space="preserve"> Wilderness traditions with priestly/legal expansions; Persian-period shaping. </t>
  </si>
  <si>
    <t xml:space="preserve"> Deuteronomy </t>
  </si>
  <si>
    <t xml:space="preserve"> -0620-01-01 </t>
  </si>
  <si>
    <t xml:space="preserve"> -0500-12-31 </t>
  </si>
  <si>
    <t xml:space="preserve"> Josianic reform core (late 7th c. BCE) with exilic–postexilic framing as intro to a larger history. </t>
  </si>
  <si>
    <t xml:space="preserve"> Joshua </t>
  </si>
  <si>
    <t xml:space="preserve"> -0520-12-31 </t>
  </si>
  <si>
    <t xml:space="preserve"> Deuteronomistic History composition with exilic redaction. </t>
  </si>
  <si>
    <t xml:space="preserve"> Judges </t>
  </si>
  <si>
    <t xml:space="preserve"> As above: Dtr composition, edited in/after exile. </t>
  </si>
  <si>
    <t xml:space="preserve"> Ruth </t>
  </si>
  <si>
    <t xml:space="preserve"> -0300-12-31 </t>
  </si>
  <si>
    <t xml:space="preserve"> Often dated post-exilic (Persian or early Hellenistic), though earlier settings are argued. </t>
  </si>
  <si>
    <t xml:space="preserve"> 1 Samuel </t>
  </si>
  <si>
    <t xml:space="preserve"> Dtr narrative with exilic redaction layers. </t>
  </si>
  <si>
    <t xml:space="preserve"> 2 Samuel </t>
  </si>
  <si>
    <t xml:space="preserve"> Same Dtr process; David cycle shaped across editions. </t>
  </si>
  <si>
    <t xml:space="preserve"> 1 Kings </t>
  </si>
  <si>
    <t xml:space="preserve"> Dtr history through fall of Samaria/Judah; edited in exile. </t>
  </si>
  <si>
    <t xml:space="preserve"> 2 Kings </t>
  </si>
  <si>
    <t xml:space="preserve"> Culmination of Dtr history; exilic editorial horizon. </t>
  </si>
  <si>
    <t xml:space="preserve"> 1 Chronicles </t>
  </si>
  <si>
    <t xml:space="preserve"> -0400-01-01 </t>
  </si>
  <si>
    <t xml:space="preserve"> Chronicler’s history (late Persian/early Hellenistic). </t>
  </si>
  <si>
    <t xml:space="preserve"> 2 Chronicles </t>
  </si>
  <si>
    <t xml:space="preserve"> Companion work to 1 Chr; same period/authorial circle. </t>
  </si>
  <si>
    <t xml:space="preserve"> Ezra </t>
  </si>
  <si>
    <t xml:space="preserve"> -0450-01-01 </t>
  </si>
  <si>
    <t xml:space="preserve"> -0390-12-31 </t>
  </si>
  <si>
    <t xml:space="preserve"> Persian-period memoirs/lists woven into narrative. </t>
  </si>
  <si>
    <t xml:space="preserve"> Nehemiah </t>
  </si>
  <si>
    <t xml:space="preserve"> -0445-01-01 </t>
  </si>
  <si>
    <t xml:space="preserve"> Persian-period memoir with later editorial stitching (often linked with Ezra). </t>
  </si>
  <si>
    <t xml:space="preserve"> Esther </t>
  </si>
  <si>
    <t xml:space="preserve"> -0250-12-31 </t>
  </si>
  <si>
    <t xml:space="preserve"> Persian court tale; most date to Persian–early Hellenistic era. </t>
  </si>
  <si>
    <t xml:space="preserve"> Job </t>
  </si>
  <si>
    <t xml:space="preserve"> -0700-01-01 </t>
  </si>
  <si>
    <t xml:space="preserve"> Highly debated; language/themes suggest exilic–postexilic shaping of older materials. </t>
  </si>
  <si>
    <t xml:space="preserve"> Psalms </t>
  </si>
  <si>
    <t xml:space="preserve"> -0100-12-31 </t>
  </si>
  <si>
    <t xml:space="preserve"> Collection spans monarchy to Hellenistic era; final editing late. </t>
  </si>
  <si>
    <t xml:space="preserve"> Proverbs </t>
  </si>
  <si>
    <t xml:space="preserve"> -0900-01-01 </t>
  </si>
  <si>
    <t xml:space="preserve"> Core Solomonic/Wisdom collections with later additions; compilation over centuries. </t>
  </si>
  <si>
    <t xml:space="preserve"> Ecclesiastes </t>
  </si>
  <si>
    <t xml:space="preserve"> -0300-01-01 </t>
  </si>
  <si>
    <t xml:space="preserve"> -0200-12-31 </t>
  </si>
  <si>
    <t xml:space="preserve"> Usually Hellenistic (3rd–early 2nd c. BCE). </t>
  </si>
  <si>
    <t xml:space="preserve"> Song of Solomon </t>
  </si>
  <si>
    <t xml:space="preserve"> Poetic anthology; linguistic features fit post-exilic/Hellenistic era. </t>
  </si>
  <si>
    <t xml:space="preserve"> Isaiah </t>
  </si>
  <si>
    <t xml:space="preserve"> -0740-01-01 </t>
  </si>
  <si>
    <t xml:space="preserve"> Multi-stage: Proto (-8th c.), Deutero (exilic, 550–539), Trito (post-exilic). </t>
  </si>
  <si>
    <t xml:space="preserve"> Jeremiah </t>
  </si>
  <si>
    <t xml:space="preserve"> -0627-01-01 </t>
  </si>
  <si>
    <t xml:space="preserve"> -0550-12-31 </t>
  </si>
  <si>
    <t xml:space="preserve"> Prophetic core in late 7th–early 6th c.; continued compilation in/after exile. </t>
  </si>
  <si>
    <t xml:space="preserve"> Lamentations </t>
  </si>
  <si>
    <t xml:space="preserve"> -0586-01-01 </t>
  </si>
  <si>
    <t xml:space="preserve"> After Jerusalem’s fall (586 BCE) with early post-exilic transmission. </t>
  </si>
  <si>
    <t xml:space="preserve"> Ezekiel </t>
  </si>
  <si>
    <t xml:space="preserve"> -0593-01-01 </t>
  </si>
  <si>
    <t xml:space="preserve"> -0530-12-31 </t>
  </si>
  <si>
    <t xml:space="preserve"> Dated visions (593–571 BCE) with later editorial shaping. </t>
  </si>
  <si>
    <t xml:space="preserve"> Daniel </t>
  </si>
  <si>
    <t xml:space="preserve"> -0200-01-01 </t>
  </si>
  <si>
    <t xml:space="preserve"> -0164-12-31 </t>
  </si>
  <si>
    <t xml:space="preserve"> Consensus places final composition amid Antiochus IV crisis (167–164 BCE). </t>
  </si>
  <si>
    <t xml:space="preserve"> Hosea </t>
  </si>
  <si>
    <t xml:space="preserve"> -0750-01-01 </t>
  </si>
  <si>
    <t xml:space="preserve"> 8th-c. core with later editorial additions. </t>
  </si>
  <si>
    <t xml:space="preserve"> Joel </t>
  </si>
  <si>
    <t xml:space="preserve"> -0500-01-01 </t>
  </si>
  <si>
    <t xml:space="preserve"> Often dated post-exilic; wide scholarly spread. </t>
  </si>
  <si>
    <t xml:space="preserve"> Amos </t>
  </si>
  <si>
    <t xml:space="preserve"> -0760-01-01 </t>
  </si>
  <si>
    <t xml:space="preserve"> 8th-c. core; later expansions/redaction. </t>
  </si>
  <si>
    <t xml:space="preserve"> Obadiah </t>
  </si>
  <si>
    <t xml:space="preserve"> -0450-12-31 </t>
  </si>
  <si>
    <t xml:space="preserve"> Commonly placed after 586 BCE against Edom. </t>
  </si>
  <si>
    <t xml:space="preserve"> Jonah </t>
  </si>
  <si>
    <t xml:space="preserve"> Didactic narrative, generally post-exilic/Hellenistic. </t>
  </si>
  <si>
    <t xml:space="preserve"> Micah </t>
  </si>
  <si>
    <t xml:space="preserve"> -0737-01-01 </t>
  </si>
  <si>
    <t xml:space="preserve"> 8th-c. core with later editorial layers. </t>
  </si>
  <si>
    <t xml:space="preserve"> Nahum </t>
  </si>
  <si>
    <t xml:space="preserve"> -0650-01-01 </t>
  </si>
  <si>
    <t xml:space="preserve"> -0612-12-31 </t>
  </si>
  <si>
    <t xml:space="preserve"> Before or around Nineveh’s fall (612 BCE). </t>
  </si>
  <si>
    <t xml:space="preserve"> Habakkuk </t>
  </si>
  <si>
    <t xml:space="preserve"> -0625-01-01 </t>
  </si>
  <si>
    <t xml:space="preserve"> -0587-12-31 </t>
  </si>
  <si>
    <t xml:space="preserve"> On cusp of Babylonian crisis; late 7th–early 6th c. </t>
  </si>
  <si>
    <t xml:space="preserve"> Zephaniah </t>
  </si>
  <si>
    <t xml:space="preserve"> -0630-01-01 </t>
  </si>
  <si>
    <t xml:space="preserve"> -0625-12-31 </t>
  </si>
  <si>
    <t xml:space="preserve"> Dated to Josiah’s reign (late 7th c. BCE). </t>
  </si>
  <si>
    <t xml:space="preserve"> Haggai </t>
  </si>
  <si>
    <t xml:space="preserve"> -0520-01-01 </t>
  </si>
  <si>
    <t xml:space="preserve"> -0519-12-31 </t>
  </si>
  <si>
    <t xml:space="preserve"> Precisely dated oracles in 520 BCE. </t>
  </si>
  <si>
    <t xml:space="preserve"> Zechariah </t>
  </si>
  <si>
    <t xml:space="preserve"> -0440-12-31 </t>
  </si>
  <si>
    <t xml:space="preserve"> Chs. 1–8 in 520–518; 9–14 later (Persian/early Hellenistic). </t>
  </si>
  <si>
    <t xml:space="preserve"> Malachi </t>
  </si>
  <si>
    <t xml:space="preserve"> Late Persian period, temple-centered reforms. </t>
  </si>
  <si>
    <t xml:space="preserve"> Matthew </t>
  </si>
  <si>
    <t xml:space="preserve"> 0070-01-01 </t>
  </si>
  <si>
    <t xml:space="preserve"> 0100-12-31 </t>
  </si>
  <si>
    <t xml:space="preserve"> Typically after 70 CE; uses Mark/Q; some argue earlier. </t>
  </si>
  <si>
    <t xml:space="preserve"> Mark </t>
  </si>
  <si>
    <t xml:space="preserve"> 0065-01-01 </t>
  </si>
  <si>
    <t xml:space="preserve"> 0075-12-31 </t>
  </si>
  <si>
    <t xml:space="preserve"> Earliest Gospel, often placed around the 70 CE crisis. </t>
  </si>
  <si>
    <t xml:space="preserve"> Luke </t>
  </si>
  <si>
    <t xml:space="preserve"> 0080-01-01 </t>
  </si>
  <si>
    <t xml:space="preserve"> 0110-12-31 </t>
  </si>
  <si>
    <t xml:space="preserve"> Two-volume Luke–Acts; conventionally 80–100+ CE. </t>
  </si>
  <si>
    <t xml:space="preserve"> John </t>
  </si>
  <si>
    <t xml:space="preserve"> 0090-01-01 </t>
  </si>
  <si>
    <t xml:space="preserve"> Usually last Gospel; late 1st–early 2nd c. CE. </t>
  </si>
  <si>
    <t xml:space="preserve"> Acts </t>
  </si>
  <si>
    <t xml:space="preserve"> Companion to Luke; late 1st–early 2nd c. CE. </t>
  </si>
  <si>
    <t xml:space="preserve"> Romans </t>
  </si>
  <si>
    <t xml:space="preserve"> 0056-01-01 </t>
  </si>
  <si>
    <t xml:space="preserve"> 0058-12-31 </t>
  </si>
  <si>
    <t xml:space="preserve"> From Corinth in mid/late 50s. </t>
  </si>
  <si>
    <t xml:space="preserve"> 1 Corinthians </t>
  </si>
  <si>
    <t xml:space="preserve"> 0053-01-01 </t>
  </si>
  <si>
    <t xml:space="preserve"> 0055-12-31 </t>
  </si>
  <si>
    <t xml:space="preserve"> From Ephesus, mid-50s. </t>
  </si>
  <si>
    <t xml:space="preserve"> 2 Corinthians </t>
  </si>
  <si>
    <t xml:space="preserve"> 0055-01-01 </t>
  </si>
  <si>
    <t xml:space="preserve"> 0057-12-31 </t>
  </si>
  <si>
    <t xml:space="preserve"> Composite from mid-50s correspondence. </t>
  </si>
  <si>
    <t xml:space="preserve"> Galatians </t>
  </si>
  <si>
    <t xml:space="preserve"> 0048-01-01 </t>
  </si>
  <si>
    <t xml:space="preserve"> Early/mid-50s depending on North/South Galatia view. </t>
  </si>
  <si>
    <t xml:space="preserve"> Ephesians </t>
  </si>
  <si>
    <t xml:space="preserve"> 0060-01-01 </t>
  </si>
  <si>
    <t xml:space="preserve"> Either captivity epistle (~60–62) or deutero-Pauline (~80–100). </t>
  </si>
  <si>
    <t xml:space="preserve"> Philippians </t>
  </si>
  <si>
    <t xml:space="preserve"> 0054-01-01 </t>
  </si>
  <si>
    <t xml:space="preserve"> 0062-12-31 </t>
  </si>
  <si>
    <t xml:space="preserve"> Imprisonment letter(s) mid-50s to early 60s. </t>
  </si>
  <si>
    <t xml:space="preserve"> Colossians </t>
  </si>
  <si>
    <t xml:space="preserve"> 0090-12-31 </t>
  </si>
  <si>
    <t xml:space="preserve"> Pauline (~60–62) or deutero-Pauline (later). </t>
  </si>
  <si>
    <t xml:space="preserve"> 1 Thessalonians </t>
  </si>
  <si>
    <t xml:space="preserve"> 0049-01-01 </t>
  </si>
  <si>
    <t xml:space="preserve"> 0051-12-31 </t>
  </si>
  <si>
    <t xml:space="preserve"> Among Paul’s earliest letters. </t>
  </si>
  <si>
    <t xml:space="preserve"> 2 Thessalonians </t>
  </si>
  <si>
    <t xml:space="preserve"> 0050-01-01 </t>
  </si>
  <si>
    <t xml:space="preserve"> If Pauline ~50–51; if pseudonymous later. </t>
  </si>
  <si>
    <t xml:space="preserve"> 1 Timothy </t>
  </si>
  <si>
    <t xml:space="preserve"> Commonly placed late 1st–early 2nd c. (if pseudonymous). </t>
  </si>
  <si>
    <t xml:space="preserve"> 2 Timothy </t>
  </si>
  <si>
    <t xml:space="preserve"> As above (Pastoral). </t>
  </si>
  <si>
    <t xml:space="preserve"> Titus </t>
  </si>
  <si>
    <t xml:space="preserve"> Philemon </t>
  </si>
  <si>
    <t xml:space="preserve"> Short captivity letter, mid/late 50s–early 60s. </t>
  </si>
  <si>
    <t xml:space="preserve"> Hebrews </t>
  </si>
  <si>
    <t xml:space="preserve"> 0095-12-31 </t>
  </si>
  <si>
    <t xml:space="preserve"> Anonymous; usually pre-95 CE. </t>
  </si>
  <si>
    <t xml:space="preserve"> James </t>
  </si>
  <si>
    <t xml:space="preserve"> Early if from James; many date turn of 1st–2nd c. </t>
  </si>
  <si>
    <t xml:space="preserve"> 1 Peter </t>
  </si>
  <si>
    <t xml:space="preserve"> Neronian to post-70 ranges commonly proposed. </t>
  </si>
  <si>
    <t xml:space="preserve"> 2 Peter </t>
  </si>
  <si>
    <t xml:space="preserve"> 0150-12-31 </t>
  </si>
  <si>
    <t xml:space="preserve"> Often considered one of the latest NT books. </t>
  </si>
  <si>
    <t xml:space="preserve"> 1 John </t>
  </si>
  <si>
    <t xml:space="preserve"> Johannine circle, late 1st–early 2nd c. </t>
  </si>
  <si>
    <t xml:space="preserve"> 2 John </t>
  </si>
  <si>
    <t xml:space="preserve"> As above. </t>
  </si>
  <si>
    <t xml:space="preserve"> 3 John </t>
  </si>
  <si>
    <t xml:space="preserve"> Jude </t>
  </si>
  <si>
    <t xml:space="preserve"> Wide range; often late 1st c. </t>
  </si>
  <si>
    <t xml:space="preserve"> Revelation </t>
  </si>
  <si>
    <t xml:space="preserve"> 0068-01-01 </t>
  </si>
  <si>
    <t xml:space="preserve"> 0096-12-31 </t>
  </si>
  <si>
    <t xml:space="preserve"> Commonly under Nero (late 60s) or Domitian (~95–96). </t>
  </si>
  <si>
    <t>-1000-01-01</t>
  </si>
  <si>
    <t>-0400-12-31</t>
  </si>
  <si>
    <t>-0800-01-01</t>
  </si>
  <si>
    <t>-0620-01-01</t>
  </si>
  <si>
    <t>-0500-12-31</t>
  </si>
  <si>
    <t>-0520-12-31</t>
  </si>
  <si>
    <t>-0300-12-31</t>
  </si>
  <si>
    <t>-0400-01-01</t>
  </si>
  <si>
    <t>-0450-01-01</t>
  </si>
  <si>
    <t>-0390-12-31</t>
  </si>
  <si>
    <t>-0445-01-01</t>
  </si>
  <si>
    <t>-0250-12-31</t>
  </si>
  <si>
    <t>-0700-01-01</t>
  </si>
  <si>
    <t>-0100-12-31</t>
  </si>
  <si>
    <t>-0900-01-01</t>
  </si>
  <si>
    <t>-0300-01-01</t>
  </si>
  <si>
    <t>-0200-12-31</t>
  </si>
  <si>
    <t>-0740-01-01</t>
  </si>
  <si>
    <t>-0627-01-01</t>
  </si>
  <si>
    <t>-0550-12-31</t>
  </si>
  <si>
    <t>-0586-01-01</t>
  </si>
  <si>
    <t>-0593-01-01</t>
  </si>
  <si>
    <t>-0530-12-31</t>
  </si>
  <si>
    <t>-0200-01-01</t>
  </si>
  <si>
    <t>-0164-12-31</t>
  </si>
  <si>
    <t>-0750-01-01</t>
  </si>
  <si>
    <t>-0500-01-01</t>
  </si>
  <si>
    <t>-0760-01-01</t>
  </si>
  <si>
    <t>-0450-12-31</t>
  </si>
  <si>
    <t>-0737-01-01</t>
  </si>
  <si>
    <t>-0650-01-01</t>
  </si>
  <si>
    <t>-0612-12-31</t>
  </si>
  <si>
    <t>-0625-01-01</t>
  </si>
  <si>
    <t>-0587-12-31</t>
  </si>
  <si>
    <t>-0630-01-01</t>
  </si>
  <si>
    <t>-0625-12-31</t>
  </si>
  <si>
    <t>-0520-01-01</t>
  </si>
  <si>
    <t>-0519-12-31</t>
  </si>
  <si>
    <t>-0440-12-31</t>
  </si>
  <si>
    <t>0070-01-01</t>
  </si>
  <si>
    <t>0100-12-31</t>
  </si>
  <si>
    <t>0065-01-01</t>
  </si>
  <si>
    <t>0075-12-31</t>
  </si>
  <si>
    <t>0080-01-01</t>
  </si>
  <si>
    <t>0110-12-31</t>
  </si>
  <si>
    <t>0090-01-01</t>
  </si>
  <si>
    <t>0056-01-01</t>
  </si>
  <si>
    <t>0058-12-31</t>
  </si>
  <si>
    <t>0053-01-01</t>
  </si>
  <si>
    <t>0055-12-31</t>
  </si>
  <si>
    <t>0055-01-01</t>
  </si>
  <si>
    <t>0057-12-31</t>
  </si>
  <si>
    <t>0048-01-01</t>
  </si>
  <si>
    <t>0060-01-01</t>
  </si>
  <si>
    <t>0054-01-01</t>
  </si>
  <si>
    <t>0062-12-31</t>
  </si>
  <si>
    <t>0090-12-31</t>
  </si>
  <si>
    <t>0049-01-01</t>
  </si>
  <si>
    <t>0051-12-31</t>
  </si>
  <si>
    <t>0050-01-01</t>
  </si>
  <si>
    <t>0095-12-31</t>
  </si>
  <si>
    <t>0150-12-31</t>
  </si>
  <si>
    <t>0068-01-01</t>
  </si>
  <si>
    <t>0096-12-31</t>
  </si>
  <si>
    <t>0010-12-31</t>
  </si>
  <si>
    <t>0010-01-01</t>
  </si>
  <si>
    <t>0080-12-31</t>
  </si>
  <si>
    <t>0000-12-31</t>
  </si>
  <si>
    <t>0095-01-01</t>
  </si>
  <si>
    <t>0140-12-31</t>
  </si>
  <si>
    <t>0160-01-01</t>
  </si>
  <si>
    <t>0175-12-31</t>
  </si>
  <si>
    <t>0610-01-01</t>
  </si>
  <si>
    <t>0632-06-08</t>
  </si>
  <si>
    <t>0620-01-01</t>
  </si>
  <si>
    <t>0870-12-31</t>
  </si>
  <si>
    <t>0400-12-31</t>
  </si>
  <si>
    <t>0200-12-31</t>
  </si>
  <si>
    <t>["islamic"]</t>
  </si>
  <si>
    <t>["hindu"]</t>
  </si>
  <si>
    <t>["jain"]</t>
  </si>
  <si>
    <t>["buddhist"]</t>
  </si>
  <si>
    <t>["taoist"]</t>
  </si>
  <si>
    <t>["confucian"]</t>
  </si>
  <si>
    <t>["zoroastrian"]</t>
  </si>
  <si>
    <t>["egyptian"]</t>
  </si>
  <si>
    <t>["babylonian"]</t>
  </si>
  <si>
    <t>["confucian","taoist"]</t>
  </si>
  <si>
    <t>["sumerian","babylonian"]</t>
  </si>
  <si>
    <t>["ugaritic","canaanite"]</t>
  </si>
  <si>
    <t>-0225-01-01</t>
  </si>
  <si>
    <t>-0175-12-31</t>
  </si>
  <si>
    <t>-0150-01-01</t>
  </si>
  <si>
    <t>-0100-01-01</t>
  </si>
  <si>
    <t>-0001-12-31</t>
  </si>
  <si>
    <t>-0116-01-01</t>
  </si>
  <si>
    <t>-0048-12-31</t>
  </si>
  <si>
    <t>-0175-01-01</t>
  </si>
  <si>
    <t>-0132-12-31</t>
  </si>
  <si>
    <t>-0196-01-01</t>
  </si>
  <si>
    <t>-0167-01-01</t>
  </si>
  <si>
    <t>-0050-12-31</t>
  </si>
  <si>
    <t>-0160-01-01</t>
  </si>
  <si>
    <t>-0140-12-31</t>
  </si>
  <si>
    <t>-0090-12-31</t>
  </si>
  <si>
    <t>-0124-01-01</t>
  </si>
  <si>
    <t>-0120-12-31</t>
  </si>
  <si>
    <t>0120-12-31</t>
  </si>
  <si>
    <t>0001-01-01</t>
  </si>
  <si>
    <t>-0063-01-01</t>
  </si>
  <si>
    <t>0100-01-01</t>
  </si>
  <si>
    <t>0000-01-01</t>
  </si>
  <si>
    <t>0300-01-01</t>
  </si>
  <si>
    <t>0075-01-01</t>
  </si>
  <si>
    <t>0079-12-31</t>
  </si>
  <si>
    <t>0120-01-01</t>
  </si>
  <si>
    <t>0105-01-01</t>
  </si>
  <si>
    <t>0115-12-31</t>
  </si>
  <si>
    <t>0110-01-01</t>
  </si>
  <si>
    <t>0130-12-31</t>
  </si>
  <si>
    <t>0155-01-01</t>
  </si>
  <si>
    <t>0160-12-31</t>
  </si>
  <si>
    <t>0132-12-31</t>
  </si>
  <si>
    <t>0130-01-01</t>
  </si>
  <si>
    <t>0150-01-01</t>
  </si>
  <si>
    <t>0325-12-31</t>
  </si>
  <si>
    <t>0180-12-31</t>
  </si>
  <si>
    <t>-1500-01-01</t>
  </si>
  <si>
    <t>-1200-12-31</t>
  </si>
  <si>
    <t>-0360-01-01</t>
  </si>
  <si>
    <t>-0470-01-01</t>
  </si>
  <si>
    <t>-0109-01-01</t>
  </si>
  <si>
    <t>-0091-12-31</t>
  </si>
  <si>
    <t>0600-12-31</t>
  </si>
  <si>
    <t>-1200-01-01</t>
  </si>
  <si>
    <t>-0600-12-31</t>
  </si>
  <si>
    <t>-2400-01-01</t>
  </si>
  <si>
    <t>-2300-12-31</t>
  </si>
  <si>
    <t>-2100-01-01</t>
  </si>
  <si>
    <t>-1600-12-31</t>
  </si>
  <si>
    <t>-1550-01-01</t>
  </si>
  <si>
    <t>-0700-12-31</t>
  </si>
  <si>
    <t>-1800-01-01</t>
  </si>
  <si>
    <t>-1100-12-31</t>
  </si>
  <si>
    <t>-1780-01-01</t>
  </si>
  <si>
    <t>-1750-12-31</t>
  </si>
  <si>
    <t>-1400-01-01</t>
  </si>
  <si>
    <t>1823-09-21</t>
  </si>
  <si>
    <t>1841-01-19</t>
  </si>
  <si>
    <t>Work</t>
  </si>
  <si>
    <t>Start Date</t>
  </si>
  <si>
    <t>End Date</t>
  </si>
  <si>
    <t>06-01-1830</t>
  </si>
  <si>
    <t>02-01-1831</t>
  </si>
  <si>
    <t>07-01-1835</t>
  </si>
  <si>
    <t>07-01-1842</t>
  </si>
  <si>
    <t>03-01-1842</t>
  </si>
  <si>
    <t>04-01-1838</t>
  </si>
  <si>
    <t>04-30-1838</t>
  </si>
  <si>
    <t>03-07-1831</t>
  </si>
  <si>
    <t>03-10-1831</t>
  </si>
  <si>
    <t>Academic</t>
  </si>
  <si>
    <t>Enoch</t>
  </si>
  <si>
    <t>["Ethiopian Orthodox", "Apocrypha"]</t>
  </si>
  <si>
    <t>Vlugate</t>
  </si>
  <si>
    <t>["EpLao","LAO","Laodiceans","Paul's Epistle to the Laodiceans"]</t>
  </si>
  <si>
    <t>["Es1"]</t>
  </si>
  <si>
    <t>["Es2"]</t>
  </si>
  <si>
    <t>["Ma1"]</t>
  </si>
  <si>
    <t>["Ma2"]</t>
  </si>
  <si>
    <t>["Song of the Three Children","Song of the Three Holy Children","PrAzar","S3Y","Aza"]</t>
  </si>
  <si>
    <t>["Aes"]</t>
  </si>
  <si>
    <t>["Epj","The Epistle of Jeremiah","The Letter of Jeremiah","Letter of Jeremiah"]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</si>
</sst>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family val="2"/>
      <scheme val="minor"/>
    </font>
    <font>
      <u/>
      <sz val="12"/>
      <color theme="10"/>
      <name val="Aptos Narrow"/>
      <family val="2"/>
      <scheme val="minor"/>
    </font>
    <font>
      <b/>
      <sz val="12"/>
      <name val="Aptos Narrow"/>
      <family val="2"/>
      <scheme val="minor"/>
    </font>
    <font>
      <sz val="12"/>
      <name val="Aptos Narrow"/>
      <family val="2"/>
      <scheme val="minor"/>
    </font>
    <font>
      <sz val="12"/>
      <color rgb="FF000000"/>
      <name val="Aptos Narrow"/>
      <family val="2"/>
      <scheme val="minor"/>
    </font>
    <font>
      <b/>
      <sz val="12"/>
      <color theme="1"/>
      <name val="Aptos Narrow"/>
      <scheme val="minor"/>
    </font>
    <font>
      <b/>
      <sz val="12"/>
      <name val="Aptos Narrow"/>
      <scheme val="minor"/>
    </font>
  </fonts>
  <fills count="4">
    <fill>
      <patternFill patternType="none"/>
    </fill>
    <fill>
      <patternFill patternType="gray125"/>
    </fill>
    <fill>
      <patternFill patternType="solid">
        <fgColor theme="9" tint="0.79998168889431442"/>
        <bgColor indexed="64"/>
      </patternFill>
    </fill>
    <fill>
      <patternFill patternType="solid">
        <fgColor rgb="FFDAF2D0"/>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xf numFmtId="0" fontId="0" fillId="0" borderId="0" xfId="0" applyAlignment="1">
      <alignment horizontal="left"/>
    </xf>
    <xf numFmtId="0" fontId="0" fillId="2" borderId="0" xfId="0" applyFill="1"/>
    <xf numFmtId="0" fontId="2" fillId="2" borderId="0" xfId="1" applyFill="1"/>
    <xf numFmtId="0" fontId="3" fillId="0" borderId="0" xfId="0" applyFont="1"/>
    <xf numFmtId="0" fontId="4" fillId="2" borderId="0" xfId="0" applyFont="1" applyFill="1"/>
    <xf numFmtId="0" fontId="4" fillId="0" borderId="0" xfId="0" applyFont="1"/>
    <xf numFmtId="0" fontId="6" fillId="0" borderId="0" xfId="0" applyFont="1"/>
    <xf numFmtId="0" fontId="5" fillId="3" borderId="0" xfId="0" applyFont="1" applyFill="1"/>
    <xf numFmtId="0" fontId="5" fillId="0" borderId="0" xfId="0" applyFont="1"/>
    <xf numFmtId="49" fontId="7" fillId="0" borderId="0" xfId="0" applyNumberFormat="1" applyFont="1"/>
    <xf numFmtId="49" fontId="4" fillId="2" borderId="0" xfId="0" applyNumberFormat="1" applyFont="1" applyFill="1"/>
    <xf numFmtId="49" fontId="4" fillId="0" borderId="0" xfId="0" applyNumberFormat="1" applyFont="1"/>
    <xf numFmtId="49" fontId="0" fillId="0" borderId="0" xfId="0" applyNumberFormat="1"/>
    <xf numFmtId="49" fontId="4" fillId="2" borderId="0" xfId="0" quotePrefix="1" applyNumberFormat="1" applyFont="1" applyFill="1"/>
    <xf numFmtId="49" fontId="0" fillId="2"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iki.crosswire.org/OSIS_Book_Abbrevi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7BBF2-065A-6B4B-8450-DD145766C676}">
  <dimension ref="A1:O209"/>
  <sheetViews>
    <sheetView tabSelected="1" topLeftCell="G1" zoomScale="130" zoomScaleNormal="130" workbookViewId="0">
      <selection activeCell="O2" sqref="O2:O179"/>
    </sheetView>
  </sheetViews>
  <sheetFormatPr baseColWidth="10" defaultRowHeight="16" x14ac:dyDescent="0.2"/>
  <cols>
    <col min="1" max="1" width="20.6640625" customWidth="1"/>
    <col min="2" max="2" width="19.83203125" customWidth="1"/>
    <col min="3" max="4" width="8.83203125" customWidth="1"/>
    <col min="5" max="5" width="51.5" customWidth="1"/>
    <col min="6" max="6" width="46.5" customWidth="1"/>
    <col min="7" max="8" width="10.33203125" style="7" customWidth="1"/>
    <col min="9" max="9" width="29.33203125" style="7" customWidth="1"/>
    <col min="10" max="11" width="10.33203125" style="13" customWidth="1"/>
    <col min="12" max="13" width="16.33203125" customWidth="1"/>
    <col min="14" max="14" width="10.5" customWidth="1"/>
    <col min="15" max="15" width="35.6640625" customWidth="1"/>
  </cols>
  <sheetData>
    <row r="1" spans="1:15" x14ac:dyDescent="0.2">
      <c r="A1" s="1" t="s">
        <v>407</v>
      </c>
      <c r="B1" s="1" t="s">
        <v>479</v>
      </c>
      <c r="C1" s="1" t="s">
        <v>481</v>
      </c>
      <c r="D1" s="1" t="s">
        <v>409</v>
      </c>
      <c r="E1" s="1" t="s">
        <v>450</v>
      </c>
      <c r="F1" s="1" t="s">
        <v>408</v>
      </c>
      <c r="G1" s="5" t="s">
        <v>480</v>
      </c>
      <c r="H1" s="5" t="s">
        <v>656</v>
      </c>
      <c r="I1" s="5" t="s">
        <v>794</v>
      </c>
      <c r="J1" s="11" t="s">
        <v>587</v>
      </c>
      <c r="K1" s="11" t="s">
        <v>588</v>
      </c>
      <c r="L1" s="1" t="s">
        <v>472</v>
      </c>
      <c r="M1" s="1" t="s">
        <v>476</v>
      </c>
      <c r="N1" s="1" t="s">
        <v>676</v>
      </c>
      <c r="O1" s="1" t="s">
        <v>586</v>
      </c>
    </row>
    <row r="2" spans="1:15" s="3" customFormat="1" x14ac:dyDescent="0.2">
      <c r="A2" s="3" t="s">
        <v>1</v>
      </c>
      <c r="B2" s="3" t="s">
        <v>487</v>
      </c>
      <c r="C2" s="3" t="s">
        <v>0</v>
      </c>
      <c r="D2" s="3" t="s">
        <v>2</v>
      </c>
      <c r="E2" s="3" t="s">
        <v>862</v>
      </c>
      <c r="F2" s="3" t="s">
        <v>649</v>
      </c>
      <c r="G2" s="6" t="s">
        <v>483</v>
      </c>
      <c r="H2" s="6" t="s">
        <v>657</v>
      </c>
      <c r="I2" s="6" t="s">
        <v>797</v>
      </c>
      <c r="J2" s="14" t="s">
        <v>1061</v>
      </c>
      <c r="K2" s="14" t="s">
        <v>1062</v>
      </c>
      <c r="L2" s="3" t="s">
        <v>473</v>
      </c>
      <c r="M2" s="3" t="s">
        <v>477</v>
      </c>
      <c r="N2" s="3" t="str">
        <f>"true"</f>
        <v>true</v>
      </c>
      <c r="O2" s="3" t="str">
        <f>"{ ""workOsisID"": """&amp;G2&amp;""", ""bookName"": """&amp;A2&amp;""", ""bookSubtitle"": """&amp;B2&amp;""", ""bookOsisID"": """&amp;C2&amp;""", ""paratext"": "&amp;IF(D2="","null",""""&amp;D2&amp;"""")&amp;", ""groups"": "&amp;E2&amp;", ""aliases"": "&amp;F2&amp;", ""chapterLabel"": """&amp;L2&amp;""", ""verseLabel"": """&amp;M2&amp;""", ""authors"": "&amp;H2&amp;", ""dateEarliest"": """&amp;J2&amp;""", ""dateLatest"": """&amp;K2&amp;""", ""hasData"": "&amp;N2&amp;", ""traditions"": "&amp;I2&amp;" },"</f>
        <v>{ "workOsisID": "KJV", "bookName": "Genesis", "bookSubtitle": "The First Book of Moses called Genesis", "bookOsisID": "Gen", "paratext": "GEN", "groups": ["Old Testament", "Hebrew Bible", "Bible", "Pentatuech", "Torah"], "aliases": ["Ge","Gn","The First Book of Moses called Genesis"], "chapterLabel": "Chapter", "verseLabel": "Verse", "authors": ["Moses"], "dateEarliest": "-1000-01-01", "dateLatest": "-0400-12-31", "hasData": true, "traditions": ["jewish","protestant","lds","catholic","eastern orthodox", "oriental orthodox"] },</v>
      </c>
    </row>
    <row r="3" spans="1:15" s="3" customFormat="1" x14ac:dyDescent="0.2">
      <c r="A3" s="3" t="s">
        <v>4</v>
      </c>
      <c r="B3" s="3" t="s">
        <v>488</v>
      </c>
      <c r="C3" s="3" t="s">
        <v>3</v>
      </c>
      <c r="D3" s="3" t="s">
        <v>5</v>
      </c>
      <c r="E3" s="3" t="s">
        <v>862</v>
      </c>
      <c r="F3" s="3" t="s">
        <v>648</v>
      </c>
      <c r="G3" s="6" t="s">
        <v>483</v>
      </c>
      <c r="H3" s="6" t="s">
        <v>657</v>
      </c>
      <c r="I3" s="6" t="s">
        <v>797</v>
      </c>
      <c r="J3" s="14" t="s">
        <v>1061</v>
      </c>
      <c r="K3" s="14" t="s">
        <v>1062</v>
      </c>
      <c r="L3" s="3" t="s">
        <v>473</v>
      </c>
      <c r="M3" s="3" t="s">
        <v>477</v>
      </c>
      <c r="N3" s="3" t="str">
        <f t="shared" ref="N3:N66" si="0">"true"</f>
        <v>true</v>
      </c>
      <c r="O3" s="3" t="str">
        <f t="shared" ref="O3:O66" si="1">"{ ""workOsisID"": """&amp;G3&amp;""", ""bookName"": """&amp;A3&amp;""", ""bookSubtitle"": """&amp;B3&amp;""", ""bookOsisID"": """&amp;C3&amp;""", ""paratext"": "&amp;IF(D3="","null",""""&amp;D3&amp;"""")&amp;", ""groups"": "&amp;E3&amp;", ""aliases"": "&amp;F3&amp;", ""chapterLabel"": """&amp;L3&amp;""", ""verseLabel"": """&amp;M3&amp;""", ""authors"": "&amp;H3&amp;", ""dateEarliest"": """&amp;J3&amp;""", ""dateLatest"": """&amp;K3&amp;""", ""hasData"": "&amp;N3&amp;", ""traditions"": "&amp;I3&amp;" },"</f>
        <v>{ "workOsisID": "KJV", "bookName": "Exodus", "bookSubtitle": "The Second Book of Moses, called Exodus", "bookOsisID": "Exod", "paratext": "EXO", "groups": ["Old Testament", "Hebrew Bible", "Bible", "Pentatuech", "Torah"], "aliases": ["Ex","The Second Book of Moses called Exodus"], "chapterLabel": "Chapter", "verseLabel": "Verse", "authors": ["Moses"], "dateEarliest": "-1000-01-01", "dateLatest": "-0400-12-31", "hasData": true, "traditions": ["jewish","protestant","lds","catholic","eastern orthodox", "oriental orthodox"] },</v>
      </c>
    </row>
    <row r="4" spans="1:15" s="3" customFormat="1" x14ac:dyDescent="0.2">
      <c r="A4" s="3" t="s">
        <v>7</v>
      </c>
      <c r="B4" s="3" t="s">
        <v>489</v>
      </c>
      <c r="C4" s="3" t="s">
        <v>6</v>
      </c>
      <c r="D4" s="3" t="s">
        <v>8</v>
      </c>
      <c r="E4" s="3" t="s">
        <v>862</v>
      </c>
      <c r="F4" s="3" t="s">
        <v>650</v>
      </c>
      <c r="G4" s="6" t="s">
        <v>483</v>
      </c>
      <c r="H4" s="6" t="s">
        <v>657</v>
      </c>
      <c r="I4" s="6" t="s">
        <v>797</v>
      </c>
      <c r="J4" s="14" t="s">
        <v>589</v>
      </c>
      <c r="K4" s="14" t="s">
        <v>1062</v>
      </c>
      <c r="L4" s="3" t="s">
        <v>473</v>
      </c>
      <c r="M4" s="3" t="s">
        <v>477</v>
      </c>
      <c r="N4" s="3" t="str">
        <f t="shared" si="0"/>
        <v>true</v>
      </c>
      <c r="O4" s="3" t="str">
        <f t="shared" si="1"/>
        <v>{ "workOsisID": "KJV", "bookName": "Leviticus", "bookSubtitle": "The Third Book of Moses, called Leviticus", "bookOsisID": "Lev", "paratext": "LEV", "groups": ["Old Testament", "Hebrew Bible", "Bible", "Pentatuech", "Torah"], "aliases": ["Le","The Third Book of Moses called Leviticus"], "chapterLabel": "Chapter", "verseLabel": "Verse", "authors": ["Moses"], "dateEarliest": "-0600-01-01", "dateLatest": "-0400-12-31", "hasData": true, "traditions": ["jewish","protestant","lds","catholic","eastern orthodox", "oriental orthodox"] },</v>
      </c>
    </row>
    <row r="5" spans="1:15" s="3" customFormat="1" x14ac:dyDescent="0.2">
      <c r="A5" s="3" t="s">
        <v>10</v>
      </c>
      <c r="B5" s="3" t="s">
        <v>490</v>
      </c>
      <c r="C5" s="3" t="s">
        <v>9</v>
      </c>
      <c r="D5" s="3" t="s">
        <v>11</v>
      </c>
      <c r="E5" s="3" t="s">
        <v>862</v>
      </c>
      <c r="F5" s="3" t="s">
        <v>651</v>
      </c>
      <c r="G5" s="6" t="s">
        <v>483</v>
      </c>
      <c r="H5" s="6" t="s">
        <v>657</v>
      </c>
      <c r="I5" s="6" t="s">
        <v>797</v>
      </c>
      <c r="J5" s="14" t="s">
        <v>1063</v>
      </c>
      <c r="K5" s="14" t="s">
        <v>1062</v>
      </c>
      <c r="L5" s="3" t="s">
        <v>473</v>
      </c>
      <c r="M5" s="3" t="s">
        <v>477</v>
      </c>
      <c r="N5" s="3" t="str">
        <f t="shared" si="0"/>
        <v>true</v>
      </c>
      <c r="O5" s="3" t="str">
        <f t="shared" si="1"/>
        <v>{ "workOsisID": "KJV", "bookName": "Numbers", "bookSubtitle": "The Fourth Book of Moses, called Numbers", "bookOsisID": "Num", "paratext": "NUM", "groups": ["Old Testament", "Hebrew Bible", "Bible", "Pentatuech", "Torah"], "aliases": ["Nu","Nm","Nb","The Fourth Book of Moses called Numbers"], "chapterLabel": "Chapter", "verseLabel": "Verse", "authors": ["Moses"], "dateEarliest": "-0800-01-01", "dateLatest": "-0400-12-31", "hasData": true, "traditions": ["jewish","protestant","lds","catholic","eastern orthodox", "oriental orthodox"] },</v>
      </c>
    </row>
    <row r="6" spans="1:15" s="3" customFormat="1" x14ac:dyDescent="0.2">
      <c r="A6" s="3" t="s">
        <v>13</v>
      </c>
      <c r="B6" s="3" t="s">
        <v>491</v>
      </c>
      <c r="C6" s="3" t="s">
        <v>12</v>
      </c>
      <c r="D6" s="3" t="s">
        <v>14</v>
      </c>
      <c r="E6" s="3" t="s">
        <v>863</v>
      </c>
      <c r="F6" s="3" t="s">
        <v>652</v>
      </c>
      <c r="G6" s="6" t="s">
        <v>483</v>
      </c>
      <c r="H6" s="6" t="s">
        <v>657</v>
      </c>
      <c r="I6" s="6" t="s">
        <v>797</v>
      </c>
      <c r="J6" s="14" t="s">
        <v>1064</v>
      </c>
      <c r="K6" s="14" t="s">
        <v>1065</v>
      </c>
      <c r="L6" s="3" t="s">
        <v>473</v>
      </c>
      <c r="M6" s="3" t="s">
        <v>477</v>
      </c>
      <c r="N6" s="3" t="str">
        <f t="shared" si="0"/>
        <v>true</v>
      </c>
      <c r="O6" s="3" t="str">
        <f t="shared" si="1"/>
        <v>{ "workOsisID": "KJV", "bookName": "Deuteronomy", "bookSubtitle": "The Fifth Book of Moses, called Deuteronomy", "bookOsisID": "Deut", "paratext": "DEU", "groups": ["Hebrew Bible","Old Testament", "Bible"], "aliases": ["Deut","Dt","Du","The Fifth Book of Moses called Deuteronomy"], "chapterLabel": "Chapter", "verseLabel": "Verse", "authors": ["Moses"], "dateEarliest": "-0620-01-01", "dateLatest": "-0500-12-31", "hasData": true, "traditions": ["jewish","protestant","lds","catholic","eastern orthodox", "oriental orthodox"] },</v>
      </c>
    </row>
    <row r="7" spans="1:15" s="3" customFormat="1" x14ac:dyDescent="0.2">
      <c r="A7" s="3" t="s">
        <v>16</v>
      </c>
      <c r="B7" s="3" t="str">
        <f>"The Book of "&amp;A7</f>
        <v>The Book of Joshua</v>
      </c>
      <c r="C7" s="3" t="s">
        <v>15</v>
      </c>
      <c r="D7" s="3" t="s">
        <v>17</v>
      </c>
      <c r="E7" s="3" t="s">
        <v>863</v>
      </c>
      <c r="F7" s="3" t="s">
        <v>719</v>
      </c>
      <c r="G7" s="6" t="s">
        <v>483</v>
      </c>
      <c r="H7" s="6" t="s">
        <v>707</v>
      </c>
      <c r="I7" s="6" t="s">
        <v>797</v>
      </c>
      <c r="J7" s="14" t="s">
        <v>1064</v>
      </c>
      <c r="K7" s="14" t="s">
        <v>1066</v>
      </c>
      <c r="L7" s="3" t="s">
        <v>473</v>
      </c>
      <c r="M7" s="3" t="s">
        <v>477</v>
      </c>
      <c r="N7" s="3" t="str">
        <f t="shared" si="0"/>
        <v>true</v>
      </c>
      <c r="O7" s="3" t="str">
        <f t="shared" si="1"/>
        <v>{ "workOsisID": "KJV", "bookName": "Joshua", "bookSubtitle": "The Book of Joshua", "bookOsisID": "Josh", "paratext": "JOS", "groups": ["Hebrew Bible","Old Testament", "Bible"], "aliases": ["Josh"], "chapterLabel": "Chapter", "verseLabel": "Verse", "authors": ["Joshua"], "dateEarliest": "-0620-01-01", "dateLatest": "-0520-12-31", "hasData": true, "traditions": ["jewish","protestant","lds","catholic","eastern orthodox", "oriental orthodox"] },</v>
      </c>
    </row>
    <row r="8" spans="1:15" s="3" customFormat="1" x14ac:dyDescent="0.2">
      <c r="A8" s="3" t="s">
        <v>19</v>
      </c>
      <c r="B8" s="3" t="str">
        <f t="shared" ref="B8:B40" si="2">"The Book of "&amp;A8</f>
        <v>The Book of Judges</v>
      </c>
      <c r="C8" s="3" t="s">
        <v>18</v>
      </c>
      <c r="D8" s="3" t="s">
        <v>20</v>
      </c>
      <c r="E8" s="3" t="s">
        <v>863</v>
      </c>
      <c r="F8" s="3" t="s">
        <v>653</v>
      </c>
      <c r="G8" s="6" t="s">
        <v>483</v>
      </c>
      <c r="H8" s="6" t="s">
        <v>838</v>
      </c>
      <c r="I8" s="6" t="s">
        <v>797</v>
      </c>
      <c r="J8" s="14" t="s">
        <v>1064</v>
      </c>
      <c r="K8" s="14" t="s">
        <v>1066</v>
      </c>
      <c r="L8" s="3" t="s">
        <v>473</v>
      </c>
      <c r="M8" s="3" t="s">
        <v>477</v>
      </c>
      <c r="N8" s="3" t="str">
        <f t="shared" si="0"/>
        <v>true</v>
      </c>
      <c r="O8" s="3" t="str">
        <f t="shared" si="1"/>
        <v>{ "workOsisID": "KJV", "bookName": "Judges", "bookSubtitle": "The Book of Judges", "bookOsisID": "Judg", "paratext": "JDG", "groups": ["Hebrew Bible","Old Testament", "Bible"], "aliases": ["Judg","Jdg","Jdgs","Jg"], "chapterLabel": "Chapter", "verseLabel": "Verse", "authors": ["Samuel"], "dateEarliest": "-0620-01-01", "dateLatest": "-0520-12-31", "hasData": true, "traditions": ["jewish","protestant","lds","catholic","eastern orthodox", "oriental orthodox"] },</v>
      </c>
    </row>
    <row r="9" spans="1:15" s="3" customFormat="1" x14ac:dyDescent="0.2">
      <c r="A9" s="3" t="s">
        <v>21</v>
      </c>
      <c r="B9" s="3" t="str">
        <f t="shared" si="2"/>
        <v>The Book of Ruth</v>
      </c>
      <c r="C9" s="3" t="s">
        <v>21</v>
      </c>
      <c r="D9" s="3" t="s">
        <v>22</v>
      </c>
      <c r="E9" s="3" t="s">
        <v>863</v>
      </c>
      <c r="F9" s="3" t="s">
        <v>654</v>
      </c>
      <c r="G9" s="6" t="s">
        <v>483</v>
      </c>
      <c r="H9" s="6" t="s">
        <v>838</v>
      </c>
      <c r="I9" s="6" t="s">
        <v>797</v>
      </c>
      <c r="J9" s="14" t="s">
        <v>589</v>
      </c>
      <c r="K9" s="14" t="s">
        <v>1067</v>
      </c>
      <c r="L9" s="3" t="s">
        <v>473</v>
      </c>
      <c r="M9" s="3" t="s">
        <v>477</v>
      </c>
      <c r="N9" s="3" t="str">
        <f t="shared" si="0"/>
        <v>true</v>
      </c>
      <c r="O9" s="3" t="str">
        <f t="shared" si="1"/>
        <v>{ "workOsisID": "KJV", "bookName": "Ruth", "bookSubtitle": "The Book of Ruth", "bookOsisID": "Ruth", "paratext": "RUT", "groups": ["Hebrew Bible","Old Testament", "Bible"], "aliases": ["Rth","Ru"], "chapterLabel": "Chapter", "verseLabel": "Verse", "authors": ["Samuel"], "dateEarliest": "-0600-01-01", "dateLatest": "-0300-12-31", "hasData": true, "traditions": ["jewish","protestant","lds","catholic","eastern orthodox", "oriental orthodox"] },</v>
      </c>
    </row>
    <row r="10" spans="1:15" s="3" customFormat="1" x14ac:dyDescent="0.2">
      <c r="A10" s="3" t="s">
        <v>24</v>
      </c>
      <c r="B10" s="3" t="str">
        <f t="shared" si="2"/>
        <v>The Book of 1 Samuel</v>
      </c>
      <c r="C10" s="3" t="s">
        <v>23</v>
      </c>
      <c r="D10" s="3" t="s">
        <v>25</v>
      </c>
      <c r="E10" s="3" t="s">
        <v>863</v>
      </c>
      <c r="F10" s="9" t="s">
        <v>738</v>
      </c>
      <c r="G10" s="6" t="s">
        <v>483</v>
      </c>
      <c r="H10" s="6" t="s">
        <v>839</v>
      </c>
      <c r="I10" s="6" t="s">
        <v>797</v>
      </c>
      <c r="J10" s="14" t="s">
        <v>1064</v>
      </c>
      <c r="K10" s="14" t="s">
        <v>1066</v>
      </c>
      <c r="L10" s="3" t="s">
        <v>473</v>
      </c>
      <c r="M10" s="3" t="s">
        <v>477</v>
      </c>
      <c r="N10" s="3" t="str">
        <f t="shared" si="0"/>
        <v>true</v>
      </c>
      <c r="O10" s="3" t="str">
        <f t="shared" si="1"/>
        <v>{ "workOsisID": "KJV", "bookName": "1 Samuel", "bookSubtitle": "The Book of 1 Samuel", "bookOsisID": "1Sam", "paratext": "1SA", "groups": ["Hebrew Bible","Old Testament", "Bible"], "aliases": ["1 Sam","1 Sm","1 Sa","1 S","I Sam","I Sa","1Sam","1Sa","1S","1st Samuel","1st Sam","First Samuel","First Sam"], "chapterLabel": "Chapter", "verseLabel": "Verse", "authors": ["Samuel","Gad","Nathan"], "dateEarliest": "-0620-01-01", "dateLatest": "-0520-12-31", "hasData": true, "traditions": ["jewish","protestant","lds","catholic","eastern orthodox", "oriental orthodox"] },</v>
      </c>
    </row>
    <row r="11" spans="1:15" s="3" customFormat="1" x14ac:dyDescent="0.2">
      <c r="A11" s="3" t="s">
        <v>27</v>
      </c>
      <c r="B11" s="3" t="str">
        <f t="shared" si="2"/>
        <v>The Book of 2 Samuel</v>
      </c>
      <c r="C11" s="3" t="s">
        <v>26</v>
      </c>
      <c r="D11" s="3" t="s">
        <v>28</v>
      </c>
      <c r="E11" s="3" t="s">
        <v>863</v>
      </c>
      <c r="F11" s="9" t="s">
        <v>739</v>
      </c>
      <c r="G11" s="6" t="s">
        <v>483</v>
      </c>
      <c r="H11" s="6" t="s">
        <v>840</v>
      </c>
      <c r="I11" s="6" t="s">
        <v>797</v>
      </c>
      <c r="J11" s="14" t="s">
        <v>1064</v>
      </c>
      <c r="K11" s="14" t="s">
        <v>1066</v>
      </c>
      <c r="L11" s="3" t="s">
        <v>473</v>
      </c>
      <c r="M11" s="3" t="s">
        <v>477</v>
      </c>
      <c r="N11" s="3" t="str">
        <f t="shared" si="0"/>
        <v>true</v>
      </c>
      <c r="O11" s="3" t="str">
        <f t="shared" si="1"/>
        <v>{ "workOsisID": "KJV", "bookName": "2 Samuel", "bookSubtitle": "The Book of 2 Samuel", "bookOsisID": "2Sam", "paratext": "2SA", "groups": ["Hebrew Bible","Old Testament", "Bible"], "aliases": ["2 Sam","2 Sm","2 Sa","2 S","II Sam","II Sa","2Sam","2Sa","2S","2nd Samuel","2nd Sam","Second Samuel","Second Sam"], "chapterLabel": "Chapter", "verseLabel": "Verse", "authors": ["Gad","Nathan"], "dateEarliest": "-0620-01-01", "dateLatest": "-0520-12-31", "hasData": true, "traditions": ["jewish","protestant","lds","catholic","eastern orthodox", "oriental orthodox"] },</v>
      </c>
    </row>
    <row r="12" spans="1:15" s="3" customFormat="1" x14ac:dyDescent="0.2">
      <c r="A12" s="3" t="s">
        <v>30</v>
      </c>
      <c r="B12" s="3" t="s">
        <v>557</v>
      </c>
      <c r="C12" s="3" t="s">
        <v>29</v>
      </c>
      <c r="D12" s="3" t="s">
        <v>31</v>
      </c>
      <c r="E12" s="3" t="s">
        <v>864</v>
      </c>
      <c r="F12" s="9" t="s">
        <v>740</v>
      </c>
      <c r="G12" s="6" t="s">
        <v>483</v>
      </c>
      <c r="H12" s="6" t="s">
        <v>659</v>
      </c>
      <c r="I12" s="6" t="s">
        <v>797</v>
      </c>
      <c r="J12" s="14" t="s">
        <v>1064</v>
      </c>
      <c r="K12" s="14" t="s">
        <v>1066</v>
      </c>
      <c r="L12" s="3" t="s">
        <v>473</v>
      </c>
      <c r="M12" s="3" t="s">
        <v>477</v>
      </c>
      <c r="N12" s="3" t="str">
        <f t="shared" si="0"/>
        <v>true</v>
      </c>
      <c r="O12" s="3" t="str">
        <f t="shared" si="1"/>
        <v>{ "workOsisID": "KJV", "bookName": "1 Kings", "bookSubtitle": "The First Book of Kings", "bookOsisID": "1Kgs", "paratext": "1KI", "groups": ["Old Testament", "Hebrew Bible", "Bible", "Kings"], "aliases": ["1 Kgs","1 Ki","1Kin","1K","I Kgs","I Ki","1st Kings","1st Kgs","First Kings","First Kgs"], "chapterLabel": "Chapter", "verseLabel": "Verse", "authors": ["Jeremiah"], "dateEarliest": "-0620-01-01", "dateLatest": "-0520-12-31", "hasData": true, "traditions": ["jewish","protestant","lds","catholic","eastern orthodox", "oriental orthodox"] },</v>
      </c>
    </row>
    <row r="13" spans="1:15" s="3" customFormat="1" x14ac:dyDescent="0.2">
      <c r="A13" s="3" t="s">
        <v>33</v>
      </c>
      <c r="B13" s="3" t="s">
        <v>558</v>
      </c>
      <c r="C13" s="3" t="s">
        <v>32</v>
      </c>
      <c r="D13" s="3" t="s">
        <v>34</v>
      </c>
      <c r="E13" s="3" t="s">
        <v>864</v>
      </c>
      <c r="F13" s="9" t="s">
        <v>741</v>
      </c>
      <c r="G13" s="6" t="s">
        <v>483</v>
      </c>
      <c r="H13" s="6" t="s">
        <v>659</v>
      </c>
      <c r="I13" s="6" t="s">
        <v>797</v>
      </c>
      <c r="J13" s="14" t="s">
        <v>1064</v>
      </c>
      <c r="K13" s="14" t="s">
        <v>1066</v>
      </c>
      <c r="L13" s="3" t="s">
        <v>473</v>
      </c>
      <c r="M13" s="3" t="s">
        <v>477</v>
      </c>
      <c r="N13" s="3" t="str">
        <f t="shared" si="0"/>
        <v>true</v>
      </c>
      <c r="O13" s="3" t="str">
        <f t="shared" si="1"/>
        <v>{ "workOsisID": "KJV", "bookName": "2 Kings", "bookSubtitle": "The Second Book of Kings", "bookOsisID": "2Kgs", "paratext": "2KI", "groups": ["Old Testament", "Hebrew Bible", "Bible", "Kings"], "aliases": ["2 Kgs","2 Ki","2Kin","2K","II Kgs","II Ki","2nd Kings","2nd Kgs","Second Kings","Second Kgs"], "chapterLabel": "Chapter", "verseLabel": "Verse", "authors": ["Jeremiah"], "dateEarliest": "-0620-01-01", "dateLatest": "-0520-12-31", "hasData": true, "traditions": ["jewish","protestant","lds","catholic","eastern orthodox", "oriental orthodox"] },</v>
      </c>
    </row>
    <row r="14" spans="1:15" s="3" customFormat="1" x14ac:dyDescent="0.2">
      <c r="A14" s="3" t="s">
        <v>36</v>
      </c>
      <c r="B14" s="3" t="s">
        <v>559</v>
      </c>
      <c r="C14" s="3" t="s">
        <v>35</v>
      </c>
      <c r="D14" s="3" t="s">
        <v>37</v>
      </c>
      <c r="E14" s="3" t="s">
        <v>865</v>
      </c>
      <c r="F14" s="9" t="s">
        <v>742</v>
      </c>
      <c r="G14" s="6" t="s">
        <v>483</v>
      </c>
      <c r="H14" s="6" t="s">
        <v>703</v>
      </c>
      <c r="I14" s="6" t="s">
        <v>797</v>
      </c>
      <c r="J14" s="14" t="s">
        <v>1068</v>
      </c>
      <c r="K14" s="14" t="s">
        <v>1067</v>
      </c>
      <c r="L14" s="3" t="s">
        <v>473</v>
      </c>
      <c r="M14" s="3" t="s">
        <v>477</v>
      </c>
      <c r="N14" s="3" t="str">
        <f t="shared" si="0"/>
        <v>true</v>
      </c>
      <c r="O14" s="3" t="str">
        <f t="shared" si="1"/>
        <v>{ "workOsisID": "KJV", "bookName": "1 Chronicles", "bookSubtitle": "The First Book of Chronicles", "bookOsisID": "1Chr", "paratext": "1CH", "groups": ["Old Testament", "Hebrew Bible", "Bible", "Persian Period"], "aliases": ["1 Chron","1 Chr","1 Ch","1Chron","1Chr","1Ch","I Chron","I Chr","I Ch","1st Chronicles","1st Chron","First Chronicles","First Chron"], "chapterLabel": "Chapter", "verseLabel": "Verse", "authors": ["Ezra"], "dateEarliest": "-0400-01-01", "dateLatest": "-0300-12-31", "hasData": true, "traditions": ["jewish","protestant","lds","catholic","eastern orthodox", "oriental orthodox"] },</v>
      </c>
    </row>
    <row r="15" spans="1:15" s="3" customFormat="1" x14ac:dyDescent="0.2">
      <c r="A15" s="3" t="s">
        <v>39</v>
      </c>
      <c r="B15" s="3" t="s">
        <v>560</v>
      </c>
      <c r="C15" s="3" t="s">
        <v>38</v>
      </c>
      <c r="D15" s="3" t="s">
        <v>40</v>
      </c>
      <c r="E15" s="3" t="s">
        <v>865</v>
      </c>
      <c r="F15" s="9" t="s">
        <v>743</v>
      </c>
      <c r="G15" s="6" t="s">
        <v>483</v>
      </c>
      <c r="H15" s="6" t="s">
        <v>703</v>
      </c>
      <c r="I15" s="6" t="s">
        <v>797</v>
      </c>
      <c r="J15" s="14" t="s">
        <v>1068</v>
      </c>
      <c r="K15" s="14" t="s">
        <v>1067</v>
      </c>
      <c r="L15" s="3" t="s">
        <v>473</v>
      </c>
      <c r="M15" s="3" t="s">
        <v>477</v>
      </c>
      <c r="N15" s="3" t="str">
        <f t="shared" si="0"/>
        <v>true</v>
      </c>
      <c r="O15" s="3" t="str">
        <f t="shared" si="1"/>
        <v>{ "workOsisID": "KJV", "bookName": "2 Chronicles", "bookSubtitle": "The Second Book of Chronicals", "bookOsisID": "2Chr", "paratext": "2CH", "groups": ["Old Testament", "Hebrew Bible", "Bible", "Persian Period"], "aliases": ["2 Chron","2 Chr","2 Ch","2Chron","2Chr","2Ch","II Chron","II Chr","II Ch","2nd Chronicles","2nd Chron","Second Chronicles","Second Chron"], "chapterLabel": "Chapter", "verseLabel": "Verse", "authors": ["Ezra"], "dateEarliest": "-0400-01-01", "dateLatest": "-0300-12-31", "hasData": true, "traditions": ["jewish","protestant","lds","catholic","eastern orthodox", "oriental orthodox"] },</v>
      </c>
    </row>
    <row r="16" spans="1:15" s="3" customFormat="1" x14ac:dyDescent="0.2">
      <c r="A16" s="3" t="s">
        <v>41</v>
      </c>
      <c r="B16" s="3" t="str">
        <f t="shared" si="2"/>
        <v>The Book of Ezra</v>
      </c>
      <c r="C16" s="3" t="s">
        <v>41</v>
      </c>
      <c r="D16" s="3" t="s">
        <v>42</v>
      </c>
      <c r="E16" s="3" t="s">
        <v>865</v>
      </c>
      <c r="F16" s="3" t="s">
        <v>736</v>
      </c>
      <c r="G16" s="6" t="s">
        <v>483</v>
      </c>
      <c r="H16" s="6" t="s">
        <v>703</v>
      </c>
      <c r="I16" s="6" t="s">
        <v>797</v>
      </c>
      <c r="J16" s="14" t="s">
        <v>1069</v>
      </c>
      <c r="K16" s="14" t="s">
        <v>1070</v>
      </c>
      <c r="L16" s="3" t="s">
        <v>473</v>
      </c>
      <c r="M16" s="3" t="s">
        <v>477</v>
      </c>
      <c r="N16" s="3" t="str">
        <f t="shared" si="0"/>
        <v>true</v>
      </c>
      <c r="O16" s="3" t="str">
        <f t="shared" si="1"/>
        <v>{ "workOsisID": "KJV", "bookName": "Ezra", "bookSubtitle": "The Book of Ezra", "bookOsisID": "Ezra", "paratext": "EZR", "groups": ["Old Testament", "Hebrew Bible", "Bible", "Persian Period"], "aliases": ["Ez"], "chapterLabel": "Chapter", "verseLabel": "Verse", "authors": ["Ezra"], "dateEarliest": "-0450-01-01", "dateLatest": "-0390-12-31", "hasData": true, "traditions": ["jewish","protestant","lds","catholic","eastern orthodox", "oriental orthodox"] },</v>
      </c>
    </row>
    <row r="17" spans="1:15" s="3" customFormat="1" x14ac:dyDescent="0.2">
      <c r="A17" s="3" t="s">
        <v>44</v>
      </c>
      <c r="B17" s="3" t="str">
        <f t="shared" si="2"/>
        <v>The Book of Nehemiah</v>
      </c>
      <c r="C17" s="3" t="s">
        <v>43</v>
      </c>
      <c r="D17" s="3" t="s">
        <v>45</v>
      </c>
      <c r="E17" s="3" t="s">
        <v>865</v>
      </c>
      <c r="F17" s="9" t="s">
        <v>744</v>
      </c>
      <c r="G17" s="6" t="s">
        <v>483</v>
      </c>
      <c r="H17" s="6" t="s">
        <v>841</v>
      </c>
      <c r="I17" s="6" t="s">
        <v>797</v>
      </c>
      <c r="J17" s="14" t="s">
        <v>1071</v>
      </c>
      <c r="K17" s="14" t="s">
        <v>1070</v>
      </c>
      <c r="L17" s="3" t="s">
        <v>473</v>
      </c>
      <c r="M17" s="3" t="s">
        <v>477</v>
      </c>
      <c r="N17" s="3" t="str">
        <f t="shared" si="0"/>
        <v>true</v>
      </c>
      <c r="O17" s="3" t="str">
        <f t="shared" si="1"/>
        <v>{ "workOsisID": "KJV", "bookName": "Nehemiah", "bookSubtitle": "The Book of Nehemiah", "bookOsisID": "Neh", "paratext": "NEH", "groups": ["Old Testament", "Hebrew Bible", "Bible", "Persian Period"], "aliases": ["Ne"], "chapterLabel": "Chapter", "verseLabel": "Verse", "authors": ["Nehemiah","Ezra"], "dateEarliest": "-0445-01-01", "dateLatest": "-0390-12-31", "hasData": true, "traditions": ["jewish","protestant","lds","catholic","eastern orthodox", "oriental orthodox"] },</v>
      </c>
    </row>
    <row r="18" spans="1:15" s="3" customFormat="1" x14ac:dyDescent="0.2">
      <c r="A18" s="4" t="s">
        <v>410</v>
      </c>
      <c r="B18" s="3" t="str">
        <f t="shared" si="2"/>
        <v>The Book of Esther</v>
      </c>
      <c r="C18" s="3" t="s">
        <v>46</v>
      </c>
      <c r="D18" s="3" t="s">
        <v>47</v>
      </c>
      <c r="E18" s="3" t="s">
        <v>863</v>
      </c>
      <c r="F18" s="9" t="s">
        <v>745</v>
      </c>
      <c r="G18" s="6" t="s">
        <v>483</v>
      </c>
      <c r="H18" s="6" t="s">
        <v>842</v>
      </c>
      <c r="I18" s="6" t="s">
        <v>797</v>
      </c>
      <c r="J18" s="14" t="s">
        <v>1068</v>
      </c>
      <c r="K18" s="14" t="s">
        <v>1072</v>
      </c>
      <c r="L18" s="3" t="s">
        <v>473</v>
      </c>
      <c r="M18" s="3" t="s">
        <v>477</v>
      </c>
      <c r="N18" s="3" t="str">
        <f t="shared" si="0"/>
        <v>true</v>
      </c>
      <c r="O18" s="3" t="str">
        <f t="shared" si="1"/>
        <v>{ "workOsisID": "KJV", "bookName": "Esther", "bookSubtitle": "The Book of Esther", "bookOsisID": "Esth", "paratext": "EST", "groups": ["Hebrew Bible","Old Testament", "Bible"], "aliases": ["Es"], "chapterLabel": "Chapter", "verseLabel": "Verse", "authors": ["Mordecai"], "dateEarliest": "-0400-01-01", "dateLatest": "-0250-12-31", "hasData": true, "traditions": ["jewish","protestant","lds","catholic","eastern orthodox", "oriental orthodox"] },</v>
      </c>
    </row>
    <row r="19" spans="1:15" s="3" customFormat="1" x14ac:dyDescent="0.2">
      <c r="A19" s="3" t="s">
        <v>48</v>
      </c>
      <c r="B19" s="3" t="str">
        <f t="shared" si="2"/>
        <v>The Book of Job</v>
      </c>
      <c r="C19" s="3" t="s">
        <v>48</v>
      </c>
      <c r="D19" s="3" t="s">
        <v>49</v>
      </c>
      <c r="E19" s="3" t="s">
        <v>863</v>
      </c>
      <c r="F19" s="9" t="s">
        <v>746</v>
      </c>
      <c r="G19" s="6" t="s">
        <v>483</v>
      </c>
      <c r="H19" s="6" t="s">
        <v>843</v>
      </c>
      <c r="I19" s="6" t="s">
        <v>797</v>
      </c>
      <c r="J19" s="14" t="s">
        <v>1073</v>
      </c>
      <c r="K19" s="14" t="s">
        <v>1067</v>
      </c>
      <c r="L19" s="3" t="s">
        <v>473</v>
      </c>
      <c r="M19" s="3" t="s">
        <v>477</v>
      </c>
      <c r="N19" s="3" t="str">
        <f t="shared" si="0"/>
        <v>true</v>
      </c>
      <c r="O19" s="3" t="str">
        <f t="shared" si="1"/>
        <v>{ "workOsisID": "KJV", "bookName": "Job", "bookSubtitle": "The Book of Job", "bookOsisID": "Job", "paratext": "JOB", "groups": ["Hebrew Bible","Old Testament", "Bible"], "aliases": ["Jb"], "chapterLabel": "Chapter", "verseLabel": "Verse", "authors": ["Job","Moses"], "dateEarliest": "-0700-01-01", "dateLatest": "-0300-12-31", "hasData": true, "traditions": ["jewish","protestant","lds","catholic","eastern orthodox", "oriental orthodox"] },</v>
      </c>
    </row>
    <row r="20" spans="1:15" s="3" customFormat="1" x14ac:dyDescent="0.2">
      <c r="A20" s="3" t="s">
        <v>51</v>
      </c>
      <c r="B20" s="3" t="str">
        <f t="shared" si="2"/>
        <v>The Book of Psalms</v>
      </c>
      <c r="C20" s="3" t="s">
        <v>50</v>
      </c>
      <c r="D20" s="3" t="s">
        <v>52</v>
      </c>
      <c r="E20" s="3" t="s">
        <v>863</v>
      </c>
      <c r="F20" s="3" t="s">
        <v>747</v>
      </c>
      <c r="G20" s="6" t="s">
        <v>483</v>
      </c>
      <c r="H20" s="6" t="s">
        <v>844</v>
      </c>
      <c r="I20" s="6" t="s">
        <v>797</v>
      </c>
      <c r="J20" s="14" t="s">
        <v>1061</v>
      </c>
      <c r="K20" s="14" t="s">
        <v>1074</v>
      </c>
      <c r="L20" s="3" t="s">
        <v>473</v>
      </c>
      <c r="M20" s="3" t="s">
        <v>477</v>
      </c>
      <c r="N20" s="3" t="str">
        <f t="shared" si="0"/>
        <v>true</v>
      </c>
      <c r="O20" s="3" t="str">
        <f t="shared" si="1"/>
        <v>{ "workOsisID": "KJV", "bookName": "Psalms", "bookSubtitle": "The Book of Psalms", "bookOsisID": "Ps", "paratext": "PSA", "groups": ["Hebrew Bible","Old Testament", "Bible"], "aliases": ["Psalm","Pslm","Psm","Pss"], "chapterLabel": "Chapter", "verseLabel": "Verse", "authors": ["David","Asaph","Sons of Korah","Solomon","Moses","Ethan","Heman"], "dateEarliest": "-1000-01-01", "dateLatest": "-0100-12-31", "hasData": true, "traditions": ["jewish","protestant","lds","catholic","eastern orthodox", "oriental orthodox"] },</v>
      </c>
    </row>
    <row r="21" spans="1:15" s="3" customFormat="1" x14ac:dyDescent="0.2">
      <c r="A21" s="3" t="s">
        <v>54</v>
      </c>
      <c r="B21" s="3" t="str">
        <f t="shared" si="2"/>
        <v>The Book of Proverbs</v>
      </c>
      <c r="C21" s="3" t="s">
        <v>53</v>
      </c>
      <c r="D21" s="3" t="s">
        <v>55</v>
      </c>
      <c r="E21" s="3" t="s">
        <v>863</v>
      </c>
      <c r="F21" s="3" t="s">
        <v>748</v>
      </c>
      <c r="G21" s="6" t="s">
        <v>483</v>
      </c>
      <c r="H21" s="6" t="s">
        <v>845</v>
      </c>
      <c r="I21" s="6" t="s">
        <v>797</v>
      </c>
      <c r="J21" s="14" t="s">
        <v>1075</v>
      </c>
      <c r="K21" s="14" t="s">
        <v>1067</v>
      </c>
      <c r="L21" s="3" t="s">
        <v>473</v>
      </c>
      <c r="M21" s="3" t="s">
        <v>477</v>
      </c>
      <c r="N21" s="3" t="str">
        <f t="shared" si="0"/>
        <v>true</v>
      </c>
      <c r="O21" s="3" t="str">
        <f t="shared" si="1"/>
        <v>{ "workOsisID": "KJV", "bookName": "Proverbs", "bookSubtitle": "The Book of Proverbs", "bookOsisID": "Prov", "paratext": "PRO", "groups": ["Hebrew Bible","Old Testament", "Bible"], "aliases": ["Prv","Pv"], "chapterLabel": "Chapter", "verseLabel": "Verse", "authors": ["Solomon","Agur","Lemuel"], "dateEarliest": "-0900-01-01", "dateLatest": "-0300-12-31", "hasData": true, "traditions": ["jewish","protestant","lds","catholic","eastern orthodox", "oriental orthodox"] },</v>
      </c>
    </row>
    <row r="22" spans="1:15" s="3" customFormat="1" x14ac:dyDescent="0.2">
      <c r="A22" s="3" t="s">
        <v>57</v>
      </c>
      <c r="B22" s="3" t="str">
        <f t="shared" si="2"/>
        <v>The Book of Ecclesiastes</v>
      </c>
      <c r="C22" s="3" t="s">
        <v>56</v>
      </c>
      <c r="D22" s="3" t="s">
        <v>58</v>
      </c>
      <c r="E22" s="3" t="s">
        <v>863</v>
      </c>
      <c r="F22" s="3" t="s">
        <v>737</v>
      </c>
      <c r="G22" s="6" t="s">
        <v>483</v>
      </c>
      <c r="H22" s="6" t="s">
        <v>680</v>
      </c>
      <c r="I22" s="6" t="s">
        <v>797</v>
      </c>
      <c r="J22" s="14" t="s">
        <v>1076</v>
      </c>
      <c r="K22" s="14" t="s">
        <v>1077</v>
      </c>
      <c r="L22" s="3" t="s">
        <v>473</v>
      </c>
      <c r="M22" s="3" t="s">
        <v>477</v>
      </c>
      <c r="N22" s="3" t="str">
        <f t="shared" si="0"/>
        <v>true</v>
      </c>
      <c r="O22" s="3" t="str">
        <f t="shared" si="1"/>
        <v>{ "workOsisID": "KJV", "bookName": "Ecclesiastes", "bookSubtitle": "The Book of Ecclesiastes", "bookOsisID": "Eccl", "paratext": "ECC", "groups": ["Hebrew Bible","Old Testament", "Bible"], "aliases": ["Qohelet"], "chapterLabel": "Chapter", "verseLabel": "Verse", "authors": ["Solomon"], "dateEarliest": "-0300-01-01", "dateLatest": "-0200-12-31", "hasData": true, "traditions": ["jewish","protestant","lds","catholic","eastern orthodox", "oriental orthodox"] },</v>
      </c>
    </row>
    <row r="23" spans="1:15" s="3" customFormat="1" x14ac:dyDescent="0.2">
      <c r="A23" s="3" t="s">
        <v>60</v>
      </c>
      <c r="B23" s="3" t="str">
        <f t="shared" si="2"/>
        <v>The Book of Song of Solomon</v>
      </c>
      <c r="C23" s="3" t="s">
        <v>59</v>
      </c>
      <c r="D23" s="3" t="s">
        <v>61</v>
      </c>
      <c r="E23" s="3" t="s">
        <v>863</v>
      </c>
      <c r="F23" s="3" t="s">
        <v>469</v>
      </c>
      <c r="G23" s="6" t="s">
        <v>483</v>
      </c>
      <c r="H23" s="6" t="s">
        <v>680</v>
      </c>
      <c r="I23" s="6" t="s">
        <v>797</v>
      </c>
      <c r="J23" s="14" t="s">
        <v>1073</v>
      </c>
      <c r="K23" s="14" t="s">
        <v>1077</v>
      </c>
      <c r="L23" s="3" t="s">
        <v>473</v>
      </c>
      <c r="M23" s="3" t="s">
        <v>477</v>
      </c>
      <c r="N23" s="3" t="str">
        <f t="shared" si="0"/>
        <v>true</v>
      </c>
      <c r="O23" s="3" t="str">
        <f t="shared" si="1"/>
        <v>{ "workOsisID": "KJV", "bookName": "Song of Solomon", "bookSubtitle": "The Book of Song of Solomon", "bookOsisID": "Song", "paratext": "SNG", "groups": ["Hebrew Bible","Old Testament", "Bible"], "aliases": ["Canticle of Canticles","Song","SNG","Solomon's Song"], "chapterLabel": "Chapter", "verseLabel": "Verse", "authors": ["Solomon"], "dateEarliest": "-0700-01-01", "dateLatest": "-0200-12-31", "hasData": true, "traditions": ["jewish","protestant","lds","catholic","eastern orthodox", "oriental orthodox"] },</v>
      </c>
    </row>
    <row r="24" spans="1:15" s="3" customFormat="1" x14ac:dyDescent="0.2">
      <c r="A24" s="3" t="s">
        <v>63</v>
      </c>
      <c r="B24" s="3" t="str">
        <f t="shared" si="2"/>
        <v>The Book of Isaiah</v>
      </c>
      <c r="C24" s="3" t="s">
        <v>62</v>
      </c>
      <c r="D24" s="3" t="s">
        <v>64</v>
      </c>
      <c r="E24" s="3" t="s">
        <v>863</v>
      </c>
      <c r="F24" s="3" t="s">
        <v>749</v>
      </c>
      <c r="G24" s="6" t="s">
        <v>483</v>
      </c>
      <c r="H24" s="6" t="s">
        <v>658</v>
      </c>
      <c r="I24" s="6" t="s">
        <v>797</v>
      </c>
      <c r="J24" s="14" t="s">
        <v>1078</v>
      </c>
      <c r="K24" s="14" t="s">
        <v>1062</v>
      </c>
      <c r="L24" s="3" t="s">
        <v>473</v>
      </c>
      <c r="M24" s="3" t="s">
        <v>477</v>
      </c>
      <c r="N24" s="3" t="str">
        <f t="shared" si="0"/>
        <v>true</v>
      </c>
      <c r="O24" s="3" t="str">
        <f t="shared" si="1"/>
        <v>{ "workOsisID": "KJV", "bookName": "Isaiah", "bookSubtitle": "The Book of Isaiah", "bookOsisID": "Isa", "paratext": "ISA", "groups": ["Hebrew Bible","Old Testament", "Bible"], "aliases": ["Is"], "chapterLabel": "Chapter", "verseLabel": "Verse", "authors": ["Isaiah"], "dateEarliest": "-0740-01-01", "dateLatest": "-0400-12-31", "hasData": true, "traditions": ["jewish","protestant","lds","catholic","eastern orthodox", "oriental orthodox"] },</v>
      </c>
    </row>
    <row r="25" spans="1:15" s="3" customFormat="1" x14ac:dyDescent="0.2">
      <c r="A25" s="3" t="s">
        <v>66</v>
      </c>
      <c r="B25" s="3" t="str">
        <f t="shared" si="2"/>
        <v>The Book of Jeremiah</v>
      </c>
      <c r="C25" s="3" t="s">
        <v>65</v>
      </c>
      <c r="D25" s="3" t="s">
        <v>67</v>
      </c>
      <c r="E25" s="3" t="s">
        <v>863</v>
      </c>
      <c r="F25" s="3" t="s">
        <v>750</v>
      </c>
      <c r="G25" s="6" t="s">
        <v>483</v>
      </c>
      <c r="H25" s="6" t="s">
        <v>659</v>
      </c>
      <c r="I25" s="6" t="s">
        <v>797</v>
      </c>
      <c r="J25" s="14" t="s">
        <v>1079</v>
      </c>
      <c r="K25" s="14" t="s">
        <v>1080</v>
      </c>
      <c r="L25" s="3" t="s">
        <v>473</v>
      </c>
      <c r="M25" s="3" t="s">
        <v>477</v>
      </c>
      <c r="N25" s="3" t="str">
        <f t="shared" si="0"/>
        <v>true</v>
      </c>
      <c r="O25" s="3" t="str">
        <f t="shared" si="1"/>
        <v>{ "workOsisID": "KJV", "bookName": "Jeremiah", "bookSubtitle": "The Book of Jeremiah", "bookOsisID": "Jer", "paratext": "JER", "groups": ["Hebrew Bible","Old Testament", "Bible"], "aliases": ["Je","Jr"], "chapterLabel": "Chapter", "verseLabel": "Verse", "authors": ["Jeremiah"], "dateEarliest": "-0627-01-01", "dateLatest": "-0550-12-31", "hasData": true, "traditions": ["jewish","protestant","lds","catholic","eastern orthodox", "oriental orthodox"] },</v>
      </c>
    </row>
    <row r="26" spans="1:15" s="3" customFormat="1" x14ac:dyDescent="0.2">
      <c r="A26" s="3" t="s">
        <v>69</v>
      </c>
      <c r="B26" s="3" t="str">
        <f t="shared" si="2"/>
        <v>The Book of Lamentations</v>
      </c>
      <c r="C26" s="3" t="s">
        <v>68</v>
      </c>
      <c r="D26" s="3" t="s">
        <v>70</v>
      </c>
      <c r="E26" s="3" t="s">
        <v>863</v>
      </c>
      <c r="F26" s="3" t="s">
        <v>758</v>
      </c>
      <c r="G26" s="6" t="s">
        <v>483</v>
      </c>
      <c r="H26" s="6" t="s">
        <v>659</v>
      </c>
      <c r="I26" s="6" t="s">
        <v>797</v>
      </c>
      <c r="J26" s="14" t="s">
        <v>1081</v>
      </c>
      <c r="K26" s="14" t="s">
        <v>1066</v>
      </c>
      <c r="L26" s="3" t="s">
        <v>473</v>
      </c>
      <c r="M26" s="3" t="s">
        <v>477</v>
      </c>
      <c r="N26" s="3" t="str">
        <f t="shared" si="0"/>
        <v>true</v>
      </c>
      <c r="O26" s="3" t="str">
        <f t="shared" si="1"/>
        <v>{ "workOsisID": "KJV", "bookName": "Lamentations", "bookSubtitle": "The Book of Lamentations", "bookOsisID": "Lam", "paratext": "LAM", "groups": ["Hebrew Bible","Old Testament", "Bible"], "aliases": ["La"], "chapterLabel": "Chapter", "verseLabel": "Verse", "authors": ["Jeremiah"], "dateEarliest": "-0586-01-01", "dateLatest": "-0520-12-31", "hasData": true, "traditions": ["jewish","protestant","lds","catholic","eastern orthodox", "oriental orthodox"] },</v>
      </c>
    </row>
    <row r="27" spans="1:15" s="3" customFormat="1" x14ac:dyDescent="0.2">
      <c r="A27" s="3" t="s">
        <v>72</v>
      </c>
      <c r="B27" s="3" t="str">
        <f t="shared" si="2"/>
        <v>The Book of Ezekiel</v>
      </c>
      <c r="C27" s="3" t="s">
        <v>71</v>
      </c>
      <c r="D27" s="3" t="s">
        <v>73</v>
      </c>
      <c r="E27" s="3" t="s">
        <v>863</v>
      </c>
      <c r="F27" s="3" t="s">
        <v>759</v>
      </c>
      <c r="G27" s="6" t="s">
        <v>483</v>
      </c>
      <c r="H27" s="6" t="s">
        <v>660</v>
      </c>
      <c r="I27" s="6" t="s">
        <v>797</v>
      </c>
      <c r="J27" s="14" t="s">
        <v>1082</v>
      </c>
      <c r="K27" s="14" t="s">
        <v>1083</v>
      </c>
      <c r="L27" s="3" t="s">
        <v>473</v>
      </c>
      <c r="M27" s="3" t="s">
        <v>477</v>
      </c>
      <c r="N27" s="3" t="str">
        <f t="shared" si="0"/>
        <v>true</v>
      </c>
      <c r="O27" s="3" t="str">
        <f t="shared" si="1"/>
        <v>{ "workOsisID": "KJV", "bookName": "Ezekiel", "bookSubtitle": "The Book of Ezekiel", "bookOsisID": "Ezek", "paratext": "EZK", "groups": ["Hebrew Bible","Old Testament", "Bible"], "aliases": ["Ezk"], "chapterLabel": "Chapter", "verseLabel": "Verse", "authors": ["Ezekiel"], "dateEarliest": "-0593-01-01", "dateLatest": "-0530-12-31", "hasData": true, "traditions": ["jewish","protestant","lds","catholic","eastern orthodox", "oriental orthodox"] },</v>
      </c>
    </row>
    <row r="28" spans="1:15" s="3" customFormat="1" x14ac:dyDescent="0.2">
      <c r="A28" s="3" t="s">
        <v>75</v>
      </c>
      <c r="B28" s="3" t="str">
        <f t="shared" si="2"/>
        <v>The Book of Daniel</v>
      </c>
      <c r="C28" s="3" t="s">
        <v>74</v>
      </c>
      <c r="D28" s="3" t="s">
        <v>76</v>
      </c>
      <c r="E28" s="3" t="s">
        <v>863</v>
      </c>
      <c r="F28" s="3" t="s">
        <v>760</v>
      </c>
      <c r="G28" s="6" t="s">
        <v>483</v>
      </c>
      <c r="H28" s="6" t="s">
        <v>661</v>
      </c>
      <c r="I28" s="6" t="s">
        <v>797</v>
      </c>
      <c r="J28" s="14" t="s">
        <v>1084</v>
      </c>
      <c r="K28" s="14" t="s">
        <v>1085</v>
      </c>
      <c r="L28" s="3" t="s">
        <v>473</v>
      </c>
      <c r="M28" s="3" t="s">
        <v>477</v>
      </c>
      <c r="N28" s="3" t="str">
        <f t="shared" si="0"/>
        <v>true</v>
      </c>
      <c r="O28" s="3" t="str">
        <f t="shared" si="1"/>
        <v>{ "workOsisID": "KJV", "bookName": "Daniel", "bookSubtitle": "The Book of Daniel", "bookOsisID": "Dan", "paratext": "DAN", "groups": ["Hebrew Bible","Old Testament", "Bible"], "aliases": ["Da","Dn"], "chapterLabel": "Chapter", "verseLabel": "Verse", "authors": ["Daniel"], "dateEarliest": "-0200-01-01", "dateLatest": "-0164-12-31", "hasData": true, "traditions": ["jewish","protestant","lds","catholic","eastern orthodox", "oriental orthodox"] },</v>
      </c>
    </row>
    <row r="29" spans="1:15" s="3" customFormat="1" x14ac:dyDescent="0.2">
      <c r="A29" s="3" t="s">
        <v>78</v>
      </c>
      <c r="B29" s="3" t="str">
        <f t="shared" si="2"/>
        <v>The Book of Hosea</v>
      </c>
      <c r="C29" s="3" t="s">
        <v>77</v>
      </c>
      <c r="D29" s="3" t="s">
        <v>79</v>
      </c>
      <c r="E29" s="3" t="s">
        <v>863</v>
      </c>
      <c r="F29" s="3" t="s">
        <v>761</v>
      </c>
      <c r="G29" s="6" t="s">
        <v>483</v>
      </c>
      <c r="H29" s="6" t="s">
        <v>846</v>
      </c>
      <c r="I29" s="6" t="s">
        <v>797</v>
      </c>
      <c r="J29" s="14" t="s">
        <v>1086</v>
      </c>
      <c r="K29" s="14" t="s">
        <v>1065</v>
      </c>
      <c r="L29" s="3" t="s">
        <v>473</v>
      </c>
      <c r="M29" s="3" t="s">
        <v>477</v>
      </c>
      <c r="N29" s="3" t="str">
        <f t="shared" si="0"/>
        <v>true</v>
      </c>
      <c r="O29" s="3" t="str">
        <f t="shared" si="1"/>
        <v>{ "workOsisID": "KJV", "bookName": "Hosea", "bookSubtitle": "The Book of Hosea", "bookOsisID": "Hos", "paratext": "HOS", "groups": ["Hebrew Bible","Old Testament", "Bible"], "aliases": ["Ho"], "chapterLabel": "Chapter", "verseLabel": "Verse", "authors": ["Hosea"], "dateEarliest": "-0750-01-01", "dateLatest": "-0500-12-31", "hasData": true, "traditions": ["jewish","protestant","lds","catholic","eastern orthodox", "oriental orthodox"] },</v>
      </c>
    </row>
    <row r="30" spans="1:15" s="3" customFormat="1" x14ac:dyDescent="0.2">
      <c r="A30" s="3" t="s">
        <v>80</v>
      </c>
      <c r="B30" s="3" t="str">
        <f t="shared" si="2"/>
        <v>The Book of Joel</v>
      </c>
      <c r="C30" s="3" t="s">
        <v>80</v>
      </c>
      <c r="D30" s="3" t="s">
        <v>81</v>
      </c>
      <c r="E30" s="3" t="s">
        <v>863</v>
      </c>
      <c r="F30" s="3" t="s">
        <v>762</v>
      </c>
      <c r="G30" s="6" t="s">
        <v>483</v>
      </c>
      <c r="H30" s="6" t="s">
        <v>847</v>
      </c>
      <c r="I30" s="6" t="s">
        <v>797</v>
      </c>
      <c r="J30" s="14" t="s">
        <v>1087</v>
      </c>
      <c r="K30" s="14" t="s">
        <v>1067</v>
      </c>
      <c r="L30" s="3" t="s">
        <v>473</v>
      </c>
      <c r="M30" s="3" t="s">
        <v>477</v>
      </c>
      <c r="N30" s="3" t="str">
        <f t="shared" si="0"/>
        <v>true</v>
      </c>
      <c r="O30" s="3" t="str">
        <f t="shared" si="1"/>
        <v>{ "workOsisID": "KJV", "bookName": "Joel", "bookSubtitle": "The Book of Joel", "bookOsisID": "Joel", "paratext": "JOL", "groups": ["Hebrew Bible","Old Testament", "Bible"], "aliases": ["Jl"], "chapterLabel": "Chapter", "verseLabel": "Verse", "authors": ["Joel"], "dateEarliest": "-0500-01-01", "dateLatest": "-0300-12-31", "hasData": true, "traditions": ["jewish","protestant","lds","catholic","eastern orthodox", "oriental orthodox"] },</v>
      </c>
    </row>
    <row r="31" spans="1:15" s="3" customFormat="1" x14ac:dyDescent="0.2">
      <c r="A31" s="3" t="s">
        <v>82</v>
      </c>
      <c r="B31" s="3" t="str">
        <f t="shared" si="2"/>
        <v>The Book of Amos</v>
      </c>
      <c r="C31" s="3" t="s">
        <v>82</v>
      </c>
      <c r="D31" s="3" t="s">
        <v>83</v>
      </c>
      <c r="E31" s="3" t="s">
        <v>863</v>
      </c>
      <c r="F31" s="3" t="s">
        <v>763</v>
      </c>
      <c r="G31" s="6" t="s">
        <v>483</v>
      </c>
      <c r="H31" s="6" t="s">
        <v>848</v>
      </c>
      <c r="I31" s="6" t="s">
        <v>797</v>
      </c>
      <c r="J31" s="14" t="s">
        <v>1088</v>
      </c>
      <c r="K31" s="14" t="s">
        <v>1065</v>
      </c>
      <c r="L31" s="3" t="s">
        <v>473</v>
      </c>
      <c r="M31" s="3" t="s">
        <v>477</v>
      </c>
      <c r="N31" s="3" t="str">
        <f t="shared" si="0"/>
        <v>true</v>
      </c>
      <c r="O31" s="3" t="str">
        <f t="shared" si="1"/>
        <v>{ "workOsisID": "KJV", "bookName": "Amos", "bookSubtitle": "The Book of Amos", "bookOsisID": "Amos", "paratext": "AMO", "groups": ["Hebrew Bible","Old Testament", "Bible"], "aliases": ["Am"], "chapterLabel": "Chapter", "verseLabel": "Verse", "authors": ["Amos"], "dateEarliest": "-0760-01-01", "dateLatest": "-0500-12-31", "hasData": true, "traditions": ["jewish","protestant","lds","catholic","eastern orthodox", "oriental orthodox"] },</v>
      </c>
    </row>
    <row r="32" spans="1:15" s="3" customFormat="1" x14ac:dyDescent="0.2">
      <c r="A32" s="3" t="s">
        <v>85</v>
      </c>
      <c r="B32" s="3" t="str">
        <f t="shared" si="2"/>
        <v>The Book of Obadiah</v>
      </c>
      <c r="C32" s="3" t="s">
        <v>84</v>
      </c>
      <c r="D32" s="3" t="s">
        <v>86</v>
      </c>
      <c r="E32" s="3" t="s">
        <v>863</v>
      </c>
      <c r="F32" s="3" t="s">
        <v>764</v>
      </c>
      <c r="G32" s="6" t="s">
        <v>483</v>
      </c>
      <c r="H32" s="6" t="s">
        <v>849</v>
      </c>
      <c r="I32" s="6" t="s">
        <v>797</v>
      </c>
      <c r="J32" s="14" t="s">
        <v>1081</v>
      </c>
      <c r="K32" s="14" t="s">
        <v>1089</v>
      </c>
      <c r="L32" s="3" t="s">
        <v>473</v>
      </c>
      <c r="M32" s="3" t="s">
        <v>477</v>
      </c>
      <c r="N32" s="3" t="str">
        <f t="shared" si="0"/>
        <v>true</v>
      </c>
      <c r="O32" s="3" t="str">
        <f t="shared" si="1"/>
        <v>{ "workOsisID": "KJV", "bookName": "Obadiah", "bookSubtitle": "The Book of Obadiah", "bookOsisID": "Obad", "paratext": "OBA", "groups": ["Hebrew Bible","Old Testament", "Bible"], "aliases": ["Ob"], "chapterLabel": "Chapter", "verseLabel": "Verse", "authors": ["Obadiah"], "dateEarliest": "-0586-01-01", "dateLatest": "-0450-12-31", "hasData": true, "traditions": ["jewish","protestant","lds","catholic","eastern orthodox", "oriental orthodox"] },</v>
      </c>
    </row>
    <row r="33" spans="1:15" s="3" customFormat="1" x14ac:dyDescent="0.2">
      <c r="A33" s="3" t="s">
        <v>87</v>
      </c>
      <c r="B33" s="3" t="str">
        <f t="shared" si="2"/>
        <v>The Book of Jonah</v>
      </c>
      <c r="C33" s="3" t="s">
        <v>87</v>
      </c>
      <c r="D33" s="3" t="s">
        <v>88</v>
      </c>
      <c r="E33" s="3" t="s">
        <v>863</v>
      </c>
      <c r="F33" s="3" t="s">
        <v>677</v>
      </c>
      <c r="G33" s="6" t="s">
        <v>483</v>
      </c>
      <c r="H33" s="6" t="s">
        <v>850</v>
      </c>
      <c r="I33" s="6" t="s">
        <v>797</v>
      </c>
      <c r="J33" s="14" t="s">
        <v>1068</v>
      </c>
      <c r="K33" s="14" t="s">
        <v>1072</v>
      </c>
      <c r="L33" s="3" t="s">
        <v>473</v>
      </c>
      <c r="M33" s="3" t="s">
        <v>477</v>
      </c>
      <c r="N33" s="3" t="str">
        <f t="shared" si="0"/>
        <v>true</v>
      </c>
      <c r="O33" s="3" t="str">
        <f t="shared" si="1"/>
        <v>{ "workOsisID": "KJV", "bookName": "Jonah", "bookSubtitle": "The Book of Jonah", "bookOsisID": "Jonah", "paratext": "JON", "groups": ["Hebrew Bible","Old Testament", "Bible"], "aliases": [], "chapterLabel": "Chapter", "verseLabel": "Verse", "authors": ["Jonah"], "dateEarliest": "-0400-01-01", "dateLatest": "-0250-12-31", "hasData": true, "traditions": ["jewish","protestant","lds","catholic","eastern orthodox", "oriental orthodox"] },</v>
      </c>
    </row>
    <row r="34" spans="1:15" s="3" customFormat="1" x14ac:dyDescent="0.2">
      <c r="A34" s="3" t="s">
        <v>90</v>
      </c>
      <c r="B34" s="3" t="str">
        <f t="shared" si="2"/>
        <v>The Book of Micah</v>
      </c>
      <c r="C34" s="3" t="s">
        <v>89</v>
      </c>
      <c r="D34" s="3" t="s">
        <v>91</v>
      </c>
      <c r="E34" s="3" t="s">
        <v>863</v>
      </c>
      <c r="F34" s="3" t="s">
        <v>765</v>
      </c>
      <c r="G34" s="6" t="s">
        <v>483</v>
      </c>
      <c r="H34" s="6" t="s">
        <v>851</v>
      </c>
      <c r="I34" s="6" t="s">
        <v>797</v>
      </c>
      <c r="J34" s="14" t="s">
        <v>1090</v>
      </c>
      <c r="K34" s="14" t="s">
        <v>1065</v>
      </c>
      <c r="L34" s="3" t="s">
        <v>473</v>
      </c>
      <c r="M34" s="3" t="s">
        <v>477</v>
      </c>
      <c r="N34" s="3" t="str">
        <f t="shared" si="0"/>
        <v>true</v>
      </c>
      <c r="O34" s="3" t="str">
        <f t="shared" si="1"/>
        <v>{ "workOsisID": "KJV", "bookName": "Micah", "bookSubtitle": "The Book of Micah", "bookOsisID": "Mic", "paratext": "MIC", "groups": ["Hebrew Bible","Old Testament", "Bible"], "aliases": ["Mc"], "chapterLabel": "Chapter", "verseLabel": "Verse", "authors": ["Micah"], "dateEarliest": "-0737-01-01", "dateLatest": "-0500-12-31", "hasData": true, "traditions": ["jewish","protestant","lds","catholic","eastern orthodox", "oriental orthodox"] },</v>
      </c>
    </row>
    <row r="35" spans="1:15" s="3" customFormat="1" x14ac:dyDescent="0.2">
      <c r="A35" s="3" t="s">
        <v>93</v>
      </c>
      <c r="B35" s="3" t="str">
        <f t="shared" si="2"/>
        <v>The Book of Nahum</v>
      </c>
      <c r="C35" s="3" t="s">
        <v>92</v>
      </c>
      <c r="D35" s="3" t="s">
        <v>94</v>
      </c>
      <c r="E35" s="3" t="s">
        <v>863</v>
      </c>
      <c r="F35" s="3" t="s">
        <v>766</v>
      </c>
      <c r="G35" s="6" t="s">
        <v>483</v>
      </c>
      <c r="H35" s="6" t="s">
        <v>852</v>
      </c>
      <c r="I35" s="6" t="s">
        <v>797</v>
      </c>
      <c r="J35" s="14" t="s">
        <v>1091</v>
      </c>
      <c r="K35" s="14" t="s">
        <v>1092</v>
      </c>
      <c r="L35" s="3" t="s">
        <v>473</v>
      </c>
      <c r="M35" s="3" t="s">
        <v>477</v>
      </c>
      <c r="N35" s="3" t="str">
        <f t="shared" si="0"/>
        <v>true</v>
      </c>
      <c r="O35" s="3" t="str">
        <f t="shared" si="1"/>
        <v>{ "workOsisID": "KJV", "bookName": "Nahum", "bookSubtitle": "The Book of Nahum", "bookOsisID": "Nah", "paratext": "NAM", "groups": ["Hebrew Bible","Old Testament", "Bible"], "aliases": ["Nh","Nhm"], "chapterLabel": "Chapter", "verseLabel": "Verse", "authors": ["Nahum"], "dateEarliest": "-0650-01-01", "dateLatest": "-0612-12-31", "hasData": true, "traditions": ["jewish","protestant","lds","catholic","eastern orthodox", "oriental orthodox"] },</v>
      </c>
    </row>
    <row r="36" spans="1:15" s="3" customFormat="1" x14ac:dyDescent="0.2">
      <c r="A36" s="3" t="s">
        <v>96</v>
      </c>
      <c r="B36" s="3" t="str">
        <f t="shared" si="2"/>
        <v>The Book of Habakkuk</v>
      </c>
      <c r="C36" s="3" t="s">
        <v>95</v>
      </c>
      <c r="D36" s="3" t="s">
        <v>97</v>
      </c>
      <c r="E36" s="3" t="s">
        <v>863</v>
      </c>
      <c r="F36" s="3" t="s">
        <v>767</v>
      </c>
      <c r="G36" s="6" t="s">
        <v>483</v>
      </c>
      <c r="H36" s="6" t="s">
        <v>853</v>
      </c>
      <c r="I36" s="6" t="s">
        <v>797</v>
      </c>
      <c r="J36" s="14" t="s">
        <v>1093</v>
      </c>
      <c r="K36" s="14" t="s">
        <v>1094</v>
      </c>
      <c r="L36" s="3" t="s">
        <v>473</v>
      </c>
      <c r="M36" s="3" t="s">
        <v>477</v>
      </c>
      <c r="N36" s="3" t="str">
        <f t="shared" si="0"/>
        <v>true</v>
      </c>
      <c r="O36" s="3" t="str">
        <f t="shared" si="1"/>
        <v>{ "workOsisID": "KJV", "bookName": "Habakkuk", "bookSubtitle": "The Book of Habakkuk", "bookOsisID": "Hab", "paratext": "HAB", "groups": ["Hebrew Bible","Old Testament", "Bible"], "aliases": ["Hb"], "chapterLabel": "Chapter", "verseLabel": "Verse", "authors": ["Habakkuk"], "dateEarliest": "-0625-01-01", "dateLatest": "-0587-12-31", "hasData": true, "traditions": ["jewish","protestant","lds","catholic","eastern orthodox", "oriental orthodox"] },</v>
      </c>
    </row>
    <row r="37" spans="1:15" s="3" customFormat="1" x14ac:dyDescent="0.2">
      <c r="A37" s="3" t="s">
        <v>99</v>
      </c>
      <c r="B37" s="3" t="str">
        <f t="shared" si="2"/>
        <v>The Book of Zephaniah</v>
      </c>
      <c r="C37" s="3" t="s">
        <v>98</v>
      </c>
      <c r="D37" s="3" t="s">
        <v>100</v>
      </c>
      <c r="E37" s="3" t="s">
        <v>863</v>
      </c>
      <c r="F37" s="3" t="s">
        <v>768</v>
      </c>
      <c r="G37" s="6" t="s">
        <v>483</v>
      </c>
      <c r="H37" s="6" t="s">
        <v>854</v>
      </c>
      <c r="I37" s="6" t="s">
        <v>797</v>
      </c>
      <c r="J37" s="14" t="s">
        <v>1095</v>
      </c>
      <c r="K37" s="14" t="s">
        <v>1096</v>
      </c>
      <c r="L37" s="3" t="s">
        <v>473</v>
      </c>
      <c r="M37" s="3" t="s">
        <v>477</v>
      </c>
      <c r="N37" s="3" t="str">
        <f t="shared" si="0"/>
        <v>true</v>
      </c>
      <c r="O37" s="3" t="str">
        <f t="shared" si="1"/>
        <v>{ "workOsisID": "KJV", "bookName": "Zephaniah", "bookSubtitle": "The Book of Zephaniah", "bookOsisID": "Zeph", "paratext": "ZEP", "groups": ["Hebrew Bible","Old Testament", "Bible"], "aliases": ["Zp"], "chapterLabel": "Chapter", "verseLabel": "Verse", "authors": ["Zephaniah"], "dateEarliest": "-0630-01-01", "dateLatest": "-0625-12-31", "hasData": true, "traditions": ["jewish","protestant","lds","catholic","eastern orthodox", "oriental orthodox"] },</v>
      </c>
    </row>
    <row r="38" spans="1:15" s="3" customFormat="1" x14ac:dyDescent="0.2">
      <c r="A38" s="3" t="s">
        <v>102</v>
      </c>
      <c r="B38" s="3" t="str">
        <f t="shared" si="2"/>
        <v>The Book of Haggai</v>
      </c>
      <c r="C38" s="3" t="s">
        <v>101</v>
      </c>
      <c r="D38" s="3" t="s">
        <v>103</v>
      </c>
      <c r="E38" s="3" t="s">
        <v>863</v>
      </c>
      <c r="F38" s="3" t="s">
        <v>769</v>
      </c>
      <c r="G38" s="6" t="s">
        <v>483</v>
      </c>
      <c r="H38" s="6" t="s">
        <v>855</v>
      </c>
      <c r="I38" s="6" t="s">
        <v>797</v>
      </c>
      <c r="J38" s="14" t="s">
        <v>1097</v>
      </c>
      <c r="K38" s="14" t="s">
        <v>1098</v>
      </c>
      <c r="L38" s="3" t="s">
        <v>473</v>
      </c>
      <c r="M38" s="3" t="s">
        <v>477</v>
      </c>
      <c r="N38" s="3" t="str">
        <f t="shared" si="0"/>
        <v>true</v>
      </c>
      <c r="O38" s="3" t="str">
        <f t="shared" si="1"/>
        <v>{ "workOsisID": "KJV", "bookName": "Haggai", "bookSubtitle": "The Book of Haggai", "bookOsisID": "Hag", "paratext": "HAG", "groups": ["Hebrew Bible","Old Testament", "Bible"], "aliases": ["Hg","Hgi","Hagi"], "chapterLabel": "Chapter", "verseLabel": "Verse", "authors": ["Haggai"], "dateEarliest": "-0520-01-01", "dateLatest": "-0519-12-31", "hasData": true, "traditions": ["jewish","protestant","lds","catholic","eastern orthodox", "oriental orthodox"] },</v>
      </c>
    </row>
    <row r="39" spans="1:15" s="3" customFormat="1" x14ac:dyDescent="0.2">
      <c r="A39" s="3" t="s">
        <v>105</v>
      </c>
      <c r="B39" s="3" t="str">
        <f t="shared" si="2"/>
        <v>The Book of Zechariah</v>
      </c>
      <c r="C39" s="3" t="s">
        <v>104</v>
      </c>
      <c r="D39" s="3" t="s">
        <v>106</v>
      </c>
      <c r="E39" s="3" t="s">
        <v>863</v>
      </c>
      <c r="F39" s="3" t="s">
        <v>770</v>
      </c>
      <c r="G39" s="6" t="s">
        <v>483</v>
      </c>
      <c r="H39" s="6" t="s">
        <v>856</v>
      </c>
      <c r="I39" s="6" t="s">
        <v>797</v>
      </c>
      <c r="J39" s="14" t="s">
        <v>1097</v>
      </c>
      <c r="K39" s="14" t="s">
        <v>1099</v>
      </c>
      <c r="L39" s="3" t="s">
        <v>473</v>
      </c>
      <c r="M39" s="3" t="s">
        <v>477</v>
      </c>
      <c r="N39" s="3" t="str">
        <f t="shared" si="0"/>
        <v>true</v>
      </c>
      <c r="O39" s="3" t="str">
        <f t="shared" si="1"/>
        <v>{ "workOsisID": "KJV", "bookName": "Zechariah", "bookSubtitle": "The Book of Zechariah", "bookOsisID": "Zech", "paratext": "ZEC", "groups": ["Hebrew Bible","Old Testament", "Bible"], "aliases": ["Zc"], "chapterLabel": "Chapter", "verseLabel": "Verse", "authors": ["Zechariah"], "dateEarliest": "-0520-01-01", "dateLatest": "-0440-12-31", "hasData": true, "traditions": ["jewish","protestant","lds","catholic","eastern orthodox", "oriental orthodox"] },</v>
      </c>
    </row>
    <row r="40" spans="1:15" s="3" customFormat="1" x14ac:dyDescent="0.2">
      <c r="A40" s="3" t="s">
        <v>108</v>
      </c>
      <c r="B40" s="3" t="str">
        <f t="shared" si="2"/>
        <v>The Book of Malachi</v>
      </c>
      <c r="C40" s="3" t="s">
        <v>107</v>
      </c>
      <c r="D40" s="3" t="s">
        <v>109</v>
      </c>
      <c r="E40" s="3" t="s">
        <v>863</v>
      </c>
      <c r="F40" s="3" t="s">
        <v>771</v>
      </c>
      <c r="G40" s="6" t="s">
        <v>483</v>
      </c>
      <c r="H40" s="6" t="s">
        <v>857</v>
      </c>
      <c r="I40" s="6" t="s">
        <v>797</v>
      </c>
      <c r="J40" s="14" t="s">
        <v>1069</v>
      </c>
      <c r="K40" s="14" t="s">
        <v>1062</v>
      </c>
      <c r="L40" s="3" t="s">
        <v>473</v>
      </c>
      <c r="M40" s="3" t="s">
        <v>477</v>
      </c>
      <c r="N40" s="3" t="str">
        <f t="shared" si="0"/>
        <v>true</v>
      </c>
      <c r="O40" s="3" t="str">
        <f t="shared" si="1"/>
        <v>{ "workOsisID": "KJV", "bookName": "Malachi", "bookSubtitle": "The Book of Malachi", "bookOsisID": "Mal", "paratext": "MAL", "groups": ["Hebrew Bible","Old Testament", "Bible"], "aliases": ["Ml"], "chapterLabel": "Chapter", "verseLabel": "Verse", "authors": ["Malachi"], "dateEarliest": "-0450-01-01", "dateLatest": "-0400-12-31", "hasData": true, "traditions": ["jewish","protestant","lds","catholic","eastern orthodox", "oriental orthodox"] },</v>
      </c>
    </row>
    <row r="41" spans="1:15" s="3" customFormat="1" x14ac:dyDescent="0.2">
      <c r="A41" s="3" t="s">
        <v>111</v>
      </c>
      <c r="B41" s="3" t="s">
        <v>492</v>
      </c>
      <c r="C41" s="3" t="s">
        <v>110</v>
      </c>
      <c r="D41" s="3" t="s">
        <v>112</v>
      </c>
      <c r="E41" s="3" t="s">
        <v>453</v>
      </c>
      <c r="F41" s="3" t="s">
        <v>708</v>
      </c>
      <c r="G41" s="6" t="s">
        <v>483</v>
      </c>
      <c r="H41" s="6" t="s">
        <v>666</v>
      </c>
      <c r="I41" s="6" t="s">
        <v>796</v>
      </c>
      <c r="J41" s="14" t="s">
        <v>1100</v>
      </c>
      <c r="K41" s="14" t="s">
        <v>1101</v>
      </c>
      <c r="L41" s="3" t="s">
        <v>473</v>
      </c>
      <c r="M41" s="3" t="s">
        <v>477</v>
      </c>
      <c r="N41" s="3" t="str">
        <f t="shared" si="0"/>
        <v>true</v>
      </c>
      <c r="O41" s="3" t="str">
        <f t="shared" si="1"/>
        <v>{ "workOsisID": "KJV", "bookName": "Matthew", "bookSubtitle": "The Gospel According to St. Matthew", "bookOsisID": "Matt", "paratext": "MAT", "groups": ["New Testament", "Bible", "Gospels"], "aliases": ["St Matthew","St. Matthew","Saint Matthew","The Gospel According to St Matthew","The Gospel According to St. Matthew","The Gospel According to Saint Matthew"], "chapterLabel": "Chapter", "verseLabel": "Verse", "authors": ["St. Matthew"], "dateEarliest": "0070-01-01", "dateLatest": "0100-12-31", "hasData": true, "traditions": ["protestant","lds","catholic","eastern orthodox","oriental orthodox"] },</v>
      </c>
    </row>
    <row r="42" spans="1:15" s="3" customFormat="1" x14ac:dyDescent="0.2">
      <c r="A42" s="3" t="s">
        <v>113</v>
      </c>
      <c r="B42" s="3" t="s">
        <v>493</v>
      </c>
      <c r="C42" s="3" t="s">
        <v>113</v>
      </c>
      <c r="D42" s="3" t="s">
        <v>114</v>
      </c>
      <c r="E42" s="3" t="s">
        <v>453</v>
      </c>
      <c r="F42" s="3" t="s">
        <v>709</v>
      </c>
      <c r="G42" s="6" t="s">
        <v>483</v>
      </c>
      <c r="H42" s="6" t="s">
        <v>665</v>
      </c>
      <c r="I42" s="6" t="s">
        <v>796</v>
      </c>
      <c r="J42" s="14" t="s">
        <v>1102</v>
      </c>
      <c r="K42" s="14" t="s">
        <v>1103</v>
      </c>
      <c r="L42" s="3" t="s">
        <v>473</v>
      </c>
      <c r="M42" s="3" t="s">
        <v>477</v>
      </c>
      <c r="N42" s="3" t="str">
        <f t="shared" si="0"/>
        <v>true</v>
      </c>
      <c r="O42" s="3" t="str">
        <f t="shared" si="1"/>
        <v>{ "workOsisID": "KJV", "bookName": "Mark", "bookSubtitle": "The Gospel According to St. Mark", "bookOsisID": "Mark", "paratext": "MRK", "groups": ["New Testament", "Bible", "Gospels"], "aliases": ["St Mark","St. Mark","Saint Mark","The Gospel According to St Mark","The Gospel According to St. Mark","The Gospel According to Saint Mark"], "chapterLabel": "Chapter", "verseLabel": "Verse", "authors": ["St. Mark"], "dateEarliest": "0065-01-01", "dateLatest": "0075-12-31", "hasData": true, "traditions": ["protestant","lds","catholic","eastern orthodox","oriental orthodox"] },</v>
      </c>
    </row>
    <row r="43" spans="1:15" s="3" customFormat="1" x14ac:dyDescent="0.2">
      <c r="A43" s="3" t="s">
        <v>115</v>
      </c>
      <c r="B43" s="3" t="s">
        <v>494</v>
      </c>
      <c r="C43" s="3" t="s">
        <v>115</v>
      </c>
      <c r="D43" s="3" t="s">
        <v>116</v>
      </c>
      <c r="E43" s="3" t="s">
        <v>453</v>
      </c>
      <c r="F43" s="3" t="s">
        <v>710</v>
      </c>
      <c r="G43" s="6" t="s">
        <v>483</v>
      </c>
      <c r="H43" s="6" t="s">
        <v>664</v>
      </c>
      <c r="I43" s="6" t="s">
        <v>796</v>
      </c>
      <c r="J43" s="14" t="s">
        <v>1104</v>
      </c>
      <c r="K43" s="14" t="s">
        <v>1105</v>
      </c>
      <c r="L43" s="3" t="s">
        <v>473</v>
      </c>
      <c r="M43" s="3" t="s">
        <v>477</v>
      </c>
      <c r="N43" s="3" t="str">
        <f t="shared" si="0"/>
        <v>true</v>
      </c>
      <c r="O43" s="3" t="str">
        <f t="shared" si="1"/>
        <v>{ "workOsisID": "KJV", "bookName": "Luke", "bookSubtitle": "The Gospel According to St. Luke", "bookOsisID": "Luke", "paratext": "LUK", "groups": ["New Testament", "Bible", "Gospels"], "aliases": ["St Luke","St. Luke","Saint Luke","The Gospel According to St Luke","The Gospel According to St. Luke","The Gospel According to Saint Luke"], "chapterLabel": "Chapter", "verseLabel": "Verse", "authors": ["St. Luke"], "dateEarliest": "0080-01-01", "dateLatest": "0110-12-31", "hasData": true, "traditions": ["protestant","lds","catholic","eastern orthodox","oriental orthodox"] },</v>
      </c>
    </row>
    <row r="44" spans="1:15" s="3" customFormat="1" x14ac:dyDescent="0.2">
      <c r="A44" s="3" t="s">
        <v>117</v>
      </c>
      <c r="B44" s="3" t="s">
        <v>495</v>
      </c>
      <c r="C44" s="3" t="s">
        <v>117</v>
      </c>
      <c r="D44" s="3" t="s">
        <v>118</v>
      </c>
      <c r="E44" s="3" t="s">
        <v>453</v>
      </c>
      <c r="F44" s="3" t="s">
        <v>711</v>
      </c>
      <c r="G44" s="6" t="s">
        <v>483</v>
      </c>
      <c r="H44" s="6" t="s">
        <v>662</v>
      </c>
      <c r="I44" s="6" t="s">
        <v>796</v>
      </c>
      <c r="J44" s="14" t="s">
        <v>1106</v>
      </c>
      <c r="K44" s="14" t="s">
        <v>1105</v>
      </c>
      <c r="L44" s="3" t="s">
        <v>473</v>
      </c>
      <c r="M44" s="3" t="s">
        <v>477</v>
      </c>
      <c r="N44" s="3" t="str">
        <f t="shared" si="0"/>
        <v>true</v>
      </c>
      <c r="O44" s="3" t="str">
        <f t="shared" si="1"/>
        <v>{ "workOsisID": "KJV", "bookName": "John", "bookSubtitle": "The Gospel According to St. John", "bookOsisID": "John", "paratext": "JHN", "groups": ["New Testament", "Bible", "Gospels"], "aliases": ["St John","St. John","Saint John","The Gospel According to St John","The Gospel According to St. John","The Gospel According to Saint John"], "chapterLabel": "Chapter", "verseLabel": "Verse", "authors": ["St. John"], "dateEarliest": "0090-01-01", "dateLatest": "0110-12-31", "hasData": true, "traditions": ["protestant","lds","catholic","eastern orthodox","oriental orthodox"] },</v>
      </c>
    </row>
    <row r="45" spans="1:15" s="3" customFormat="1" x14ac:dyDescent="0.2">
      <c r="A45" s="3" t="s">
        <v>119</v>
      </c>
      <c r="B45" s="3" t="s">
        <v>496</v>
      </c>
      <c r="C45" s="3" t="s">
        <v>119</v>
      </c>
      <c r="D45" s="3" t="s">
        <v>120</v>
      </c>
      <c r="E45" s="3" t="s">
        <v>454</v>
      </c>
      <c r="F45" s="3" t="s">
        <v>772</v>
      </c>
      <c r="G45" s="6" t="s">
        <v>483</v>
      </c>
      <c r="H45" t="s">
        <v>860</v>
      </c>
      <c r="I45" s="6" t="s">
        <v>796</v>
      </c>
      <c r="J45" s="14" t="s">
        <v>1104</v>
      </c>
      <c r="K45" s="14" t="s">
        <v>1105</v>
      </c>
      <c r="L45" s="3" t="s">
        <v>473</v>
      </c>
      <c r="M45" s="3" t="s">
        <v>477</v>
      </c>
      <c r="N45" s="3" t="str">
        <f t="shared" si="0"/>
        <v>true</v>
      </c>
      <c r="O45" s="3" t="str">
        <f t="shared" si="1"/>
        <v>{ "workOsisID": "KJV", "bookName": "Acts", "bookSubtitle": "The Acts of the Apostles", "bookOsisID": "Acts", "paratext": "ACT", "groups": ["New Testament", "Bible"], "aliases": ["Ac"], "chapterLabel": "Chapter", "verseLabel": "Verse", "authors": ["Luke"], "dateEarliest": "0080-01-01", "dateLatest": "0110-12-31", "hasData": true, "traditions": ["protestant","lds","catholic","eastern orthodox","oriental orthodox"] },</v>
      </c>
    </row>
    <row r="46" spans="1:15" s="3" customFormat="1" x14ac:dyDescent="0.2">
      <c r="A46" s="3" t="s">
        <v>122</v>
      </c>
      <c r="B46" s="3" t="s">
        <v>497</v>
      </c>
      <c r="C46" s="3" t="s">
        <v>121</v>
      </c>
      <c r="D46" s="3" t="s">
        <v>123</v>
      </c>
      <c r="E46" s="3" t="s">
        <v>455</v>
      </c>
      <c r="F46" s="3" t="s">
        <v>773</v>
      </c>
      <c r="G46" s="6" t="s">
        <v>483</v>
      </c>
      <c r="H46" t="s">
        <v>663</v>
      </c>
      <c r="I46" s="6" t="s">
        <v>796</v>
      </c>
      <c r="J46" s="14" t="s">
        <v>1107</v>
      </c>
      <c r="K46" s="14" t="s">
        <v>1108</v>
      </c>
      <c r="L46" s="3" t="s">
        <v>473</v>
      </c>
      <c r="M46" s="3" t="s">
        <v>477</v>
      </c>
      <c r="N46" s="3" t="str">
        <f t="shared" si="0"/>
        <v>true</v>
      </c>
      <c r="O46" s="3" t="str">
        <f t="shared" si="1"/>
        <v>{ "workOsisID": "KJV", "bookName": "Romans", "bookSubtitle": "The Epistle of Paul to the Romans ", "bookOsisID": "Rom", "paratext": "ROM", "groups": ["New Testament", "Bible", "Pauline Epistles"], "aliases": ["Ro","Rm"], "chapterLabel": "Chapter", "verseLabel": "Verse", "authors": ["Paul"], "dateEarliest": "0056-01-01", "dateLatest": "0058-12-31", "hasData": true, "traditions": ["protestant","lds","catholic","eastern orthodox","oriental orthodox"] },</v>
      </c>
    </row>
    <row r="47" spans="1:15" s="3" customFormat="1" x14ac:dyDescent="0.2">
      <c r="A47" s="3" t="s">
        <v>125</v>
      </c>
      <c r="B47" s="3" t="s">
        <v>498</v>
      </c>
      <c r="C47" s="3" t="s">
        <v>124</v>
      </c>
      <c r="D47" s="3" t="s">
        <v>126</v>
      </c>
      <c r="E47" s="3" t="s">
        <v>455</v>
      </c>
      <c r="F47" s="3" t="s">
        <v>774</v>
      </c>
      <c r="G47" s="6" t="s">
        <v>483</v>
      </c>
      <c r="H47" t="s">
        <v>663</v>
      </c>
      <c r="I47" s="6" t="s">
        <v>796</v>
      </c>
      <c r="J47" s="14" t="s">
        <v>1109</v>
      </c>
      <c r="K47" s="14" t="s">
        <v>1110</v>
      </c>
      <c r="L47" s="3" t="s">
        <v>473</v>
      </c>
      <c r="M47" s="3" t="s">
        <v>477</v>
      </c>
      <c r="N47" s="3" t="str">
        <f t="shared" si="0"/>
        <v>true</v>
      </c>
      <c r="O47" s="3" t="str">
        <f t="shared" si="1"/>
        <v>{ "workOsisID": "KJV", "bookName": "1 Corinthians", "bookSubtitle": "The First Epistle of Paul to the Corinthians ", "bookOsisID": "1Cor", "paratext": "1CO", "groups": ["New Testament", "Bible", "Pauline Epistles"], "aliases": ["1 Cor","1 Co","I Cor","I Co","1Cor","1Co","I Corinthians","1Corinthians","1st Corinthians","First Corinthians"], "chapterLabel": "Chapter", "verseLabel": "Verse", "authors": ["Paul"], "dateEarliest": "0053-01-01", "dateLatest": "0055-12-31", "hasData": true, "traditions": ["protestant","lds","catholic","eastern orthodox","oriental orthodox"] },</v>
      </c>
    </row>
    <row r="48" spans="1:15" s="3" customFormat="1" x14ac:dyDescent="0.2">
      <c r="A48" s="3" t="s">
        <v>128</v>
      </c>
      <c r="B48" s="3" t="s">
        <v>499</v>
      </c>
      <c r="C48" s="3" t="s">
        <v>127</v>
      </c>
      <c r="D48" s="3" t="s">
        <v>129</v>
      </c>
      <c r="E48" s="3" t="s">
        <v>455</v>
      </c>
      <c r="F48" s="3" t="s">
        <v>775</v>
      </c>
      <c r="G48" s="6" t="s">
        <v>483</v>
      </c>
      <c r="H48" t="s">
        <v>663</v>
      </c>
      <c r="I48" s="6" t="s">
        <v>796</v>
      </c>
      <c r="J48" s="14" t="s">
        <v>1111</v>
      </c>
      <c r="K48" s="14" t="s">
        <v>1112</v>
      </c>
      <c r="L48" s="3" t="s">
        <v>473</v>
      </c>
      <c r="M48" s="3" t="s">
        <v>477</v>
      </c>
      <c r="N48" s="3" t="str">
        <f t="shared" si="0"/>
        <v>true</v>
      </c>
      <c r="O48" s="3" t="str">
        <f t="shared" si="1"/>
        <v>{ "workOsisID": "KJV", "bookName": "2 Corinthians", "bookSubtitle": "The Second Epistle of Paul to the Corinthians ", "bookOsisID": "2Cor", "paratext": "2CO", "groups": ["New Testament", "Bible", "Pauline Epistles"], "aliases": ["2 Cor","2 Co","II Cor","II Co","2Cor","2Co","II Corinthians","2Corinthians","2nd Corinthians","Second Corinthians"], "chapterLabel": "Chapter", "verseLabel": "Verse", "authors": ["Paul"], "dateEarliest": "0055-01-01", "dateLatest": "0057-12-31", "hasData": true, "traditions": ["protestant","lds","catholic","eastern orthodox","oriental orthodox"] },</v>
      </c>
    </row>
    <row r="49" spans="1:15" s="3" customFormat="1" x14ac:dyDescent="0.2">
      <c r="A49" s="3" t="s">
        <v>131</v>
      </c>
      <c r="B49" s="3" t="s">
        <v>500</v>
      </c>
      <c r="C49" s="3" t="s">
        <v>130</v>
      </c>
      <c r="D49" s="3" t="s">
        <v>132</v>
      </c>
      <c r="E49" s="3" t="s">
        <v>455</v>
      </c>
      <c r="F49" s="3" t="s">
        <v>776</v>
      </c>
      <c r="G49" s="6" t="s">
        <v>483</v>
      </c>
      <c r="H49" t="s">
        <v>663</v>
      </c>
      <c r="I49" s="6" t="s">
        <v>796</v>
      </c>
      <c r="J49" s="14" t="s">
        <v>1113</v>
      </c>
      <c r="K49" s="14" t="s">
        <v>1110</v>
      </c>
      <c r="L49" s="3" t="s">
        <v>473</v>
      </c>
      <c r="M49" s="3" t="s">
        <v>477</v>
      </c>
      <c r="N49" s="3" t="str">
        <f t="shared" si="0"/>
        <v>true</v>
      </c>
      <c r="O49" s="3" t="str">
        <f t="shared" si="1"/>
        <v>{ "workOsisID": "KJV", "bookName": "Galatians", "bookSubtitle": "The Epistle of Paul to the Galatians ", "bookOsisID": "Gal", "paratext": "GAL", "groups": ["New Testament", "Bible", "Pauline Epistles"], "aliases": ["Ga"], "chapterLabel": "Chapter", "verseLabel": "Verse", "authors": ["Paul"], "dateEarliest": "0048-01-01", "dateLatest": "0055-12-31", "hasData": true, "traditions": ["protestant","lds","catholic","eastern orthodox","oriental orthodox"] },</v>
      </c>
    </row>
    <row r="50" spans="1:15" s="3" customFormat="1" x14ac:dyDescent="0.2">
      <c r="A50" s="3" t="s">
        <v>134</v>
      </c>
      <c r="B50" s="3" t="s">
        <v>501</v>
      </c>
      <c r="C50" s="3" t="s">
        <v>133</v>
      </c>
      <c r="D50" s="3" t="s">
        <v>135</v>
      </c>
      <c r="E50" s="3" t="s">
        <v>455</v>
      </c>
      <c r="F50" s="3" t="s">
        <v>777</v>
      </c>
      <c r="G50" s="6" t="s">
        <v>483</v>
      </c>
      <c r="H50" t="s">
        <v>663</v>
      </c>
      <c r="I50" s="6" t="s">
        <v>796</v>
      </c>
      <c r="J50" s="14" t="s">
        <v>1114</v>
      </c>
      <c r="K50" s="14" t="s">
        <v>1101</v>
      </c>
      <c r="L50" s="3" t="s">
        <v>473</v>
      </c>
      <c r="M50" s="3" t="s">
        <v>477</v>
      </c>
      <c r="N50" s="3" t="str">
        <f t="shared" si="0"/>
        <v>true</v>
      </c>
      <c r="O50" s="3" t="str">
        <f t="shared" si="1"/>
        <v>{ "workOsisID": "KJV", "bookName": "Ephesians", "bookSubtitle": "The Epistle of Paul to the Ephesians ", "bookOsisID": "Eph", "paratext": "EPH", "groups": ["New Testament", "Bible", "Pauline Epistles"], "aliases": ["Ephes","Ep"], "chapterLabel": "Chapter", "verseLabel": "Verse", "authors": ["Paul"], "dateEarliest": "0060-01-01", "dateLatest": "0100-12-31", "hasData": true, "traditions": ["protestant","lds","catholic","eastern orthodox","oriental orthodox"] },</v>
      </c>
    </row>
    <row r="51" spans="1:15" s="3" customFormat="1" x14ac:dyDescent="0.2">
      <c r="A51" s="3" t="s">
        <v>137</v>
      </c>
      <c r="B51" s="3" t="s">
        <v>502</v>
      </c>
      <c r="C51" s="3" t="s">
        <v>136</v>
      </c>
      <c r="D51" s="3" t="s">
        <v>138</v>
      </c>
      <c r="E51" s="3" t="s">
        <v>455</v>
      </c>
      <c r="F51" s="3" t="s">
        <v>778</v>
      </c>
      <c r="G51" s="6" t="s">
        <v>483</v>
      </c>
      <c r="H51" t="s">
        <v>663</v>
      </c>
      <c r="I51" s="6" t="s">
        <v>796</v>
      </c>
      <c r="J51" s="14" t="s">
        <v>1115</v>
      </c>
      <c r="K51" s="14" t="s">
        <v>1116</v>
      </c>
      <c r="L51" s="3" t="s">
        <v>473</v>
      </c>
      <c r="M51" s="3" t="s">
        <v>477</v>
      </c>
      <c r="N51" s="3" t="str">
        <f t="shared" si="0"/>
        <v>true</v>
      </c>
      <c r="O51" s="3" t="str">
        <f t="shared" si="1"/>
        <v>{ "workOsisID": "KJV", "bookName": "Philippians", "bookSubtitle": "The Epistle of Paul to the Philippians ", "bookOsisID": "Phil", "paratext": "PHP", "groups": ["New Testament", "Bible", "Pauline Epistles"], "aliases": ["Pp"], "chapterLabel": "Chapter", "verseLabel": "Verse", "authors": ["Paul"], "dateEarliest": "0054-01-01", "dateLatest": "0062-12-31", "hasData": true, "traditions": ["protestant","lds","catholic","eastern orthodox","oriental orthodox"] },</v>
      </c>
    </row>
    <row r="52" spans="1:15" s="3" customFormat="1" x14ac:dyDescent="0.2">
      <c r="A52" s="3" t="s">
        <v>140</v>
      </c>
      <c r="B52" s="3" t="s">
        <v>503</v>
      </c>
      <c r="C52" s="3" t="s">
        <v>139</v>
      </c>
      <c r="D52" s="3" t="s">
        <v>141</v>
      </c>
      <c r="E52" s="3" t="s">
        <v>455</v>
      </c>
      <c r="F52" s="3" t="s">
        <v>779</v>
      </c>
      <c r="G52" s="6" t="s">
        <v>483</v>
      </c>
      <c r="H52" t="s">
        <v>663</v>
      </c>
      <c r="I52" s="6" t="s">
        <v>796</v>
      </c>
      <c r="J52" s="14" t="s">
        <v>1114</v>
      </c>
      <c r="K52" s="14" t="s">
        <v>1117</v>
      </c>
      <c r="L52" s="3" t="s">
        <v>473</v>
      </c>
      <c r="M52" s="3" t="s">
        <v>477</v>
      </c>
      <c r="N52" s="3" t="str">
        <f t="shared" si="0"/>
        <v>true</v>
      </c>
      <c r="O52" s="3" t="str">
        <f t="shared" si="1"/>
        <v>{ "workOsisID": "KJV", "bookName": "Colossians", "bookSubtitle": "The Epistle of Paul to the Colossians ", "bookOsisID": "Col", "paratext": "COL", "groups": ["New Testament", "Bible", "Pauline Epistles"], "aliases": ["Co"], "chapterLabel": "Chapter", "verseLabel": "Verse", "authors": ["Paul"], "dateEarliest": "0060-01-01", "dateLatest": "0090-12-31", "hasData": true, "traditions": ["protestant","lds","catholic","eastern orthodox","oriental orthodox"] },</v>
      </c>
    </row>
    <row r="53" spans="1:15" s="3" customFormat="1" x14ac:dyDescent="0.2">
      <c r="A53" s="3" t="s">
        <v>143</v>
      </c>
      <c r="B53" s="3" t="s">
        <v>504</v>
      </c>
      <c r="C53" s="3" t="s">
        <v>142</v>
      </c>
      <c r="D53" s="3" t="s">
        <v>144</v>
      </c>
      <c r="E53" s="3" t="s">
        <v>455</v>
      </c>
      <c r="F53" s="3" t="s">
        <v>780</v>
      </c>
      <c r="G53" s="6" t="s">
        <v>483</v>
      </c>
      <c r="H53" t="s">
        <v>663</v>
      </c>
      <c r="I53" s="6" t="s">
        <v>796</v>
      </c>
      <c r="J53" s="14" t="s">
        <v>1118</v>
      </c>
      <c r="K53" s="14" t="s">
        <v>1119</v>
      </c>
      <c r="L53" s="3" t="s">
        <v>473</v>
      </c>
      <c r="M53" s="3" t="s">
        <v>477</v>
      </c>
      <c r="N53" s="3" t="str">
        <f t="shared" si="0"/>
        <v>true</v>
      </c>
      <c r="O53" s="3" t="str">
        <f t="shared" si="1"/>
        <v>{ "workOsisID": "KJV", "bookName": "1 Thessalonians", "bookSubtitle": "The First Epistle of Paul to the Thessalonians ", "bookOsisID": "1Thess", "paratext": "1TH", "groups": ["New Testament", "Bible", "Pauline Epistles"], "aliases": ["1 Thess","1 Thes","1 Th","I Thessalonians","I Thess","I Thes","I Th","1Thessalonians","1Thess","1Thes","1Th","1st Thessalonians","1st Thess","First Thessalonians","First Thess"], "chapterLabel": "Chapter", "verseLabel": "Verse", "authors": ["Paul"], "dateEarliest": "0049-01-01", "dateLatest": "0051-12-31", "hasData": true, "traditions": ["protestant","lds","catholic","eastern orthodox","oriental orthodox"] },</v>
      </c>
    </row>
    <row r="54" spans="1:15" s="3" customFormat="1" x14ac:dyDescent="0.2">
      <c r="A54" s="3" t="s">
        <v>146</v>
      </c>
      <c r="B54" s="3" t="s">
        <v>505</v>
      </c>
      <c r="C54" s="3" t="s">
        <v>145</v>
      </c>
      <c r="D54" s="3" t="s">
        <v>147</v>
      </c>
      <c r="E54" s="3" t="s">
        <v>455</v>
      </c>
      <c r="F54" s="3" t="s">
        <v>781</v>
      </c>
      <c r="G54" s="6" t="s">
        <v>483</v>
      </c>
      <c r="H54" t="s">
        <v>663</v>
      </c>
      <c r="I54" s="6" t="s">
        <v>796</v>
      </c>
      <c r="J54" s="14" t="s">
        <v>1120</v>
      </c>
      <c r="K54" s="14" t="s">
        <v>1101</v>
      </c>
      <c r="L54" s="3" t="s">
        <v>473</v>
      </c>
      <c r="M54" s="3" t="s">
        <v>477</v>
      </c>
      <c r="N54" s="3" t="str">
        <f t="shared" si="0"/>
        <v>true</v>
      </c>
      <c r="O54" s="3" t="str">
        <f t="shared" si="1"/>
        <v>{ "workOsisID": "KJV", "bookName": "2 Thessalonians", "bookSubtitle": "The Second Epistle of Paul to the Thessalonians ", "bookOsisID": "2Thess", "paratext": "2TH", "groups": ["New Testament", "Bible", "Pauline Epistles"], "aliases": ["2 Thess","2 Thes","2 Th","II Thessalonians","II Thess","II Thes","II Th","2Thessalonians","2Thess","2Thes","2Th","2nd Thessalonians","2nd Thess","Second Thessalonians","Second Thess"], "chapterLabel": "Chapter", "verseLabel": "Verse", "authors": ["Paul"], "dateEarliest": "0050-01-01", "dateLatest": "0100-12-31", "hasData": true, "traditions": ["protestant","lds","catholic","eastern orthodox","oriental orthodox"] },</v>
      </c>
    </row>
    <row r="55" spans="1:15" s="3" customFormat="1" x14ac:dyDescent="0.2">
      <c r="A55" s="3" t="s">
        <v>149</v>
      </c>
      <c r="B55" s="3" t="s">
        <v>506</v>
      </c>
      <c r="C55" s="3" t="s">
        <v>148</v>
      </c>
      <c r="D55" s="3" t="s">
        <v>150</v>
      </c>
      <c r="E55" s="3" t="s">
        <v>455</v>
      </c>
      <c r="F55" s="3" t="s">
        <v>782</v>
      </c>
      <c r="G55" s="6" t="s">
        <v>483</v>
      </c>
      <c r="H55" t="s">
        <v>663</v>
      </c>
      <c r="I55" s="6" t="s">
        <v>796</v>
      </c>
      <c r="J55" s="14" t="s">
        <v>1102</v>
      </c>
      <c r="K55" s="14" t="s">
        <v>1105</v>
      </c>
      <c r="L55" s="3" t="s">
        <v>473</v>
      </c>
      <c r="M55" s="3" t="s">
        <v>477</v>
      </c>
      <c r="N55" s="3" t="str">
        <f t="shared" si="0"/>
        <v>true</v>
      </c>
      <c r="O55" s="3" t="str">
        <f t="shared" si="1"/>
        <v>{ "workOsisID": "KJV", "bookName": "1 Timothy", "bookSubtitle": "The First Epistle of Paul to Timothy ", "bookOsisID": "1Tim", "paratext": "1TI", "groups": ["New Testament", "Bible", "Pauline Epistles"], "aliases": ["1 Tim","1 Ti","I Timothy","I Tim","I Ti","1Timothy","1Tim","1Ti","1st Timothy","1st Tim","First Timothy","First Tim"], "chapterLabel": "Chapter", "verseLabel": "Verse", "authors": ["Paul"], "dateEarliest": "0065-01-01", "dateLatest": "0110-12-31", "hasData": true, "traditions": ["protestant","lds","catholic","eastern orthodox","oriental orthodox"] },</v>
      </c>
    </row>
    <row r="56" spans="1:15" s="3" customFormat="1" x14ac:dyDescent="0.2">
      <c r="A56" s="3" t="s">
        <v>152</v>
      </c>
      <c r="B56" s="3" t="s">
        <v>507</v>
      </c>
      <c r="C56" s="3" t="s">
        <v>151</v>
      </c>
      <c r="D56" s="3" t="s">
        <v>153</v>
      </c>
      <c r="E56" s="3" t="s">
        <v>455</v>
      </c>
      <c r="F56" s="3" t="s">
        <v>783</v>
      </c>
      <c r="G56" s="6" t="s">
        <v>483</v>
      </c>
      <c r="H56" t="s">
        <v>663</v>
      </c>
      <c r="I56" s="6" t="s">
        <v>796</v>
      </c>
      <c r="J56" s="14" t="s">
        <v>1102</v>
      </c>
      <c r="K56" s="14" t="s">
        <v>1105</v>
      </c>
      <c r="L56" s="3" t="s">
        <v>473</v>
      </c>
      <c r="M56" s="3" t="s">
        <v>477</v>
      </c>
      <c r="N56" s="3" t="str">
        <f t="shared" si="0"/>
        <v>true</v>
      </c>
      <c r="O56" s="3" t="str">
        <f t="shared" si="1"/>
        <v>{ "workOsisID": "KJV", "bookName": "2 Timothy", "bookSubtitle": "The Second Epistle of Paul to Timothy ", "bookOsisID": "2Tim", "paratext": "2TI", "groups": ["New Testament", "Bible", "Pauline Epistles"], "aliases": ["2 Tim","2 Ti","II Timothy","II Tim","II Ti","2Timothy","2Tim","2Ti","2nd Timothy","2nd Tim","Second Timothy","Second Tim"], "chapterLabel": "Chapter", "verseLabel": "Verse", "authors": ["Paul"], "dateEarliest": "0065-01-01", "dateLatest": "0110-12-31", "hasData": true, "traditions": ["protestant","lds","catholic","eastern orthodox","oriental orthodox"] },</v>
      </c>
    </row>
    <row r="57" spans="1:15" s="3" customFormat="1" x14ac:dyDescent="0.2">
      <c r="A57" s="3" t="s">
        <v>154</v>
      </c>
      <c r="B57" s="3" t="s">
        <v>508</v>
      </c>
      <c r="C57" s="3" t="s">
        <v>154</v>
      </c>
      <c r="D57" s="3" t="s">
        <v>155</v>
      </c>
      <c r="E57" s="3" t="s">
        <v>455</v>
      </c>
      <c r="F57" s="3" t="s">
        <v>784</v>
      </c>
      <c r="G57" s="6" t="s">
        <v>483</v>
      </c>
      <c r="H57" t="s">
        <v>663</v>
      </c>
      <c r="I57" s="6" t="s">
        <v>796</v>
      </c>
      <c r="J57" s="14" t="s">
        <v>1102</v>
      </c>
      <c r="K57" s="14" t="s">
        <v>1105</v>
      </c>
      <c r="L57" s="3" t="s">
        <v>473</v>
      </c>
      <c r="M57" s="3" t="s">
        <v>477</v>
      </c>
      <c r="N57" s="3" t="str">
        <f t="shared" si="0"/>
        <v>true</v>
      </c>
      <c r="O57" s="3" t="str">
        <f t="shared" si="1"/>
        <v>{ "workOsisID": "KJV", "bookName": "Titus", "bookSubtitle": "The Epistle of Paul to Titus ", "bookOsisID": "Titus", "paratext": "TIT", "groups": ["New Testament", "Bible", "Pauline Epistles"], "aliases": ["Ti","Tts"], "chapterLabel": "Chapter", "verseLabel": "Verse", "authors": ["Paul"], "dateEarliest": "0065-01-01", "dateLatest": "0110-12-31", "hasData": true, "traditions": ["protestant","lds","catholic","eastern orthodox","oriental orthodox"] },</v>
      </c>
    </row>
    <row r="58" spans="1:15" s="3" customFormat="1" x14ac:dyDescent="0.2">
      <c r="A58" s="3" t="s">
        <v>157</v>
      </c>
      <c r="B58" s="3" t="s">
        <v>509</v>
      </c>
      <c r="C58" s="3" t="s">
        <v>156</v>
      </c>
      <c r="D58" s="3" t="s">
        <v>158</v>
      </c>
      <c r="E58" s="3" t="s">
        <v>455</v>
      </c>
      <c r="F58" s="3" t="s">
        <v>785</v>
      </c>
      <c r="G58" s="6" t="s">
        <v>483</v>
      </c>
      <c r="H58" t="s">
        <v>663</v>
      </c>
      <c r="I58" s="6" t="s">
        <v>796</v>
      </c>
      <c r="J58" s="14" t="s">
        <v>1115</v>
      </c>
      <c r="K58" s="14" t="s">
        <v>1116</v>
      </c>
      <c r="L58" s="3" t="s">
        <v>473</v>
      </c>
      <c r="M58" s="3" t="s">
        <v>477</v>
      </c>
      <c r="N58" s="3" t="str">
        <f t="shared" si="0"/>
        <v>true</v>
      </c>
      <c r="O58" s="3" t="str">
        <f t="shared" si="1"/>
        <v>{ "workOsisID": "KJV", "bookName": "Philemon", "bookSubtitle": "The Epistle of Paul to Philemon ", "bookOsisID": "Phlm", "paratext": "PHM", "groups": ["New Testament", "Bible", "Pauline Epistles"], "aliases": ["Pm"], "chapterLabel": "Chapter", "verseLabel": "Verse", "authors": ["Paul"], "dateEarliest": "0054-01-01", "dateLatest": "0062-12-31", "hasData": true, "traditions": ["protestant","lds","catholic","eastern orthodox","oriental orthodox"] },</v>
      </c>
    </row>
    <row r="59" spans="1:15" s="3" customFormat="1" x14ac:dyDescent="0.2">
      <c r="A59" s="3" t="s">
        <v>160</v>
      </c>
      <c r="B59" s="3" t="s">
        <v>510</v>
      </c>
      <c r="C59" s="3" t="s">
        <v>159</v>
      </c>
      <c r="D59" s="3" t="s">
        <v>161</v>
      </c>
      <c r="E59" s="3" t="s">
        <v>454</v>
      </c>
      <c r="F59" s="3" t="s">
        <v>677</v>
      </c>
      <c r="G59" s="6" t="s">
        <v>483</v>
      </c>
      <c r="H59" t="s">
        <v>677</v>
      </c>
      <c r="I59" s="6" t="s">
        <v>796</v>
      </c>
      <c r="J59" s="14" t="s">
        <v>1114</v>
      </c>
      <c r="K59" s="14" t="s">
        <v>1121</v>
      </c>
      <c r="L59" s="3" t="s">
        <v>473</v>
      </c>
      <c r="M59" s="3" t="s">
        <v>477</v>
      </c>
      <c r="N59" s="3" t="str">
        <f t="shared" si="0"/>
        <v>true</v>
      </c>
      <c r="O59" s="3" t="str">
        <f t="shared" si="1"/>
        <v>{ "workOsisID": "KJV", "bookName": "Hebrews", "bookSubtitle": "The Epistle to the Hebrews ", "bookOsisID": "Heb", "paratext": "HEB", "groups": ["New Testament", "Bible"], "aliases": [], "chapterLabel": "Chapter", "verseLabel": "Verse", "authors": [], "dateEarliest": "0060-01-01", "dateLatest": "0095-12-31", "hasData": true, "traditions": ["protestant","lds","catholic","eastern orthodox","oriental orthodox"] },</v>
      </c>
    </row>
    <row r="60" spans="1:15" s="3" customFormat="1" x14ac:dyDescent="0.2">
      <c r="A60" s="3" t="s">
        <v>163</v>
      </c>
      <c r="B60" s="3" t="s">
        <v>511</v>
      </c>
      <c r="C60" s="3" t="s">
        <v>162</v>
      </c>
      <c r="D60" s="3" t="s">
        <v>164</v>
      </c>
      <c r="E60" s="3" t="s">
        <v>454</v>
      </c>
      <c r="F60" s="3" t="s">
        <v>786</v>
      </c>
      <c r="G60" s="6" t="s">
        <v>483</v>
      </c>
      <c r="H60" s="6" t="s">
        <v>861</v>
      </c>
      <c r="I60" s="6" t="s">
        <v>796</v>
      </c>
      <c r="J60" s="14" t="s">
        <v>1113</v>
      </c>
      <c r="K60" s="14" t="s">
        <v>1105</v>
      </c>
      <c r="L60" s="3" t="s">
        <v>473</v>
      </c>
      <c r="M60" s="3" t="s">
        <v>477</v>
      </c>
      <c r="N60" s="3" t="str">
        <f t="shared" si="0"/>
        <v>true</v>
      </c>
      <c r="O60" s="3" t="str">
        <f t="shared" si="1"/>
        <v>{ "workOsisID": "KJV", "bookName": "James", "bookSubtitle": "The General Epistle of James ", "bookOsisID": "Jas", "paratext": "JAS", "groups": ["New Testament", "Bible"], "aliases": ["Jm"], "chapterLabel": "Chapter", "verseLabel": "Verse", "authors": ["James the brother of Jesus"], "dateEarliest": "0048-01-01", "dateLatest": "0110-12-31", "hasData": true, "traditions": ["protestant","lds","catholic","eastern orthodox","oriental orthodox"] },</v>
      </c>
    </row>
    <row r="61" spans="1:15" s="3" customFormat="1" x14ac:dyDescent="0.2">
      <c r="A61" s="3" t="s">
        <v>166</v>
      </c>
      <c r="B61" s="3" t="s">
        <v>512</v>
      </c>
      <c r="C61" s="3" t="s">
        <v>165</v>
      </c>
      <c r="D61" s="3" t="s">
        <v>167</v>
      </c>
      <c r="E61" s="3" t="s">
        <v>454</v>
      </c>
      <c r="F61" s="3" t="s">
        <v>787</v>
      </c>
      <c r="G61" s="6" t="s">
        <v>483</v>
      </c>
      <c r="H61" s="6" t="s">
        <v>668</v>
      </c>
      <c r="I61" s="6" t="s">
        <v>796</v>
      </c>
      <c r="J61" s="14" t="s">
        <v>1114</v>
      </c>
      <c r="K61" s="14" t="s">
        <v>1117</v>
      </c>
      <c r="L61" s="3" t="s">
        <v>473</v>
      </c>
      <c r="M61" s="3" t="s">
        <v>477</v>
      </c>
      <c r="N61" s="3" t="str">
        <f t="shared" si="0"/>
        <v>true</v>
      </c>
      <c r="O61" s="3" t="str">
        <f t="shared" si="1"/>
        <v>{ "workOsisID": "KJV", "bookName": "1 Peter", "bookSubtitle": "The First Epistle of Peter ", "bookOsisID": "1Pet", "paratext": "1PE", "groups": ["New Testament", "Bible"], "aliases": ["1 Pet","1 Pe","1 Pt","1 P","I Pet","I Pt","I Pe","1Peter","1Pet","1Pe","1Pt","1P","I Peter","1st Peter","First Peter"], "chapterLabel": "Chapter", "verseLabel": "Verse", "authors": ["Peter"], "dateEarliest": "0060-01-01", "dateLatest": "0090-12-31", "hasData": true, "traditions": ["protestant","lds","catholic","eastern orthodox","oriental orthodox"] },</v>
      </c>
    </row>
    <row r="62" spans="1:15" s="3" customFormat="1" x14ac:dyDescent="0.2">
      <c r="A62" s="3" t="s">
        <v>169</v>
      </c>
      <c r="B62" s="3" t="s">
        <v>513</v>
      </c>
      <c r="C62" s="3" t="s">
        <v>168</v>
      </c>
      <c r="D62" s="3" t="s">
        <v>170</v>
      </c>
      <c r="E62" s="3" t="s">
        <v>454</v>
      </c>
      <c r="F62" s="3" t="s">
        <v>788</v>
      </c>
      <c r="G62" s="6" t="s">
        <v>483</v>
      </c>
      <c r="H62" s="6" t="s">
        <v>668</v>
      </c>
      <c r="I62" s="6" t="s">
        <v>796</v>
      </c>
      <c r="J62" s="14" t="s">
        <v>1104</v>
      </c>
      <c r="K62" s="14" t="s">
        <v>1122</v>
      </c>
      <c r="L62" s="3" t="s">
        <v>473</v>
      </c>
      <c r="M62" s="3" t="s">
        <v>477</v>
      </c>
      <c r="N62" s="3" t="str">
        <f t="shared" si="0"/>
        <v>true</v>
      </c>
      <c r="O62" s="3" t="str">
        <f t="shared" si="1"/>
        <v>{ "workOsisID": "KJV", "bookName": "2 Peter", "bookSubtitle": "The Second Epistle of Peter ", "bookOsisID": "2Pet", "paratext": "2PE", "groups": ["New Testament", "Bible"], "aliases": ["2 Pet","2 Pe","2 Pt","2 P","II Peter","II Pet","II Pt","II Pe","2Peter","2Pet","2Pe","2Pt","2P","2nd Peter","Second Peter"], "chapterLabel": "Chapter", "verseLabel": "Verse", "authors": ["Peter"], "dateEarliest": "0080-01-01", "dateLatest": "0150-12-31", "hasData": true, "traditions": ["protestant","lds","catholic","eastern orthodox","oriental orthodox"] },</v>
      </c>
    </row>
    <row r="63" spans="1:15" s="3" customFormat="1" x14ac:dyDescent="0.2">
      <c r="A63" s="3" t="s">
        <v>172</v>
      </c>
      <c r="B63" s="3" t="s">
        <v>514</v>
      </c>
      <c r="C63" s="3" t="s">
        <v>171</v>
      </c>
      <c r="D63" s="3" t="s">
        <v>173</v>
      </c>
      <c r="E63" s="3" t="s">
        <v>454</v>
      </c>
      <c r="F63" s="3" t="s">
        <v>789</v>
      </c>
      <c r="G63" s="6" t="s">
        <v>483</v>
      </c>
      <c r="H63" s="6" t="s">
        <v>669</v>
      </c>
      <c r="I63" s="6" t="s">
        <v>796</v>
      </c>
      <c r="J63" s="14" t="s">
        <v>1106</v>
      </c>
      <c r="K63" s="14" t="s">
        <v>1105</v>
      </c>
      <c r="L63" s="3" t="s">
        <v>473</v>
      </c>
      <c r="M63" s="3" t="s">
        <v>477</v>
      </c>
      <c r="N63" s="3" t="str">
        <f>"true"</f>
        <v>true</v>
      </c>
      <c r="O63" s="3" t="str">
        <f t="shared" si="1"/>
        <v>{ "workOsisID": "KJV", "bookName": "1 John", "bookSubtitle": "The First Epistle of John ", "bookOsisID": "1John", "paratext": "1JN", "groups": ["New Testament", "Bible"], "aliases": ["1 John","1 Jhn","1 Jn","1 J","1John","1Jhn","1Joh","1Jn","1Jo","1J","I John","I Jhn","I Joh","I Jn","I Jo","1st John","First John"], "chapterLabel": "Chapter", "verseLabel": "Verse", "authors": ["The Apostle John"], "dateEarliest": "0090-01-01", "dateLatest": "0110-12-31", "hasData": true, "traditions": ["protestant","lds","catholic","eastern orthodox","oriental orthodox"] },</v>
      </c>
    </row>
    <row r="64" spans="1:15" s="3" customFormat="1" x14ac:dyDescent="0.2">
      <c r="A64" s="3" t="s">
        <v>175</v>
      </c>
      <c r="B64" s="3" t="s">
        <v>515</v>
      </c>
      <c r="C64" s="3" t="s">
        <v>174</v>
      </c>
      <c r="D64" s="3" t="s">
        <v>176</v>
      </c>
      <c r="E64" s="3" t="s">
        <v>454</v>
      </c>
      <c r="F64" s="3" t="s">
        <v>790</v>
      </c>
      <c r="G64" s="6" t="s">
        <v>483</v>
      </c>
      <c r="H64" s="6" t="s">
        <v>669</v>
      </c>
      <c r="I64" s="6" t="s">
        <v>796</v>
      </c>
      <c r="J64" s="14" t="s">
        <v>1106</v>
      </c>
      <c r="K64" s="14" t="s">
        <v>1105</v>
      </c>
      <c r="L64" s="3" t="s">
        <v>473</v>
      </c>
      <c r="M64" s="3" t="s">
        <v>477</v>
      </c>
      <c r="N64" s="3" t="str">
        <f t="shared" si="0"/>
        <v>true</v>
      </c>
      <c r="O64" s="3" t="str">
        <f t="shared" si="1"/>
        <v>{ "workOsisID": "KJV", "bookName": "2 John", "bookSubtitle": "The Second Epistle of John ", "bookOsisID": "2John", "paratext": "2JN", "groups": ["New Testament", "Bible"], "aliases": ["2 John","2 Jhn","2 Jn","2 J","2John","2Jhn","2Joh","2Jn","2Jo","2J","II John","II Jhn","II Joh","II Jn","II Jo","2nd John","Second John"], "chapterLabel": "Chapter", "verseLabel": "Verse", "authors": ["The Apostle John"], "dateEarliest": "0090-01-01", "dateLatest": "0110-12-31", "hasData": true, "traditions": ["protestant","lds","catholic","eastern orthodox","oriental orthodox"] },</v>
      </c>
    </row>
    <row r="65" spans="1:15" s="3" customFormat="1" x14ac:dyDescent="0.2">
      <c r="A65" s="3" t="s">
        <v>178</v>
      </c>
      <c r="B65" s="3" t="s">
        <v>516</v>
      </c>
      <c r="C65" s="3" t="s">
        <v>177</v>
      </c>
      <c r="D65" s="3" t="s">
        <v>179</v>
      </c>
      <c r="E65" s="3" t="s">
        <v>454</v>
      </c>
      <c r="F65" s="3" t="s">
        <v>791</v>
      </c>
      <c r="G65" s="6" t="s">
        <v>483</v>
      </c>
      <c r="H65" s="6" t="s">
        <v>669</v>
      </c>
      <c r="I65" s="6" t="s">
        <v>796</v>
      </c>
      <c r="J65" s="14" t="s">
        <v>1106</v>
      </c>
      <c r="K65" s="14" t="s">
        <v>1105</v>
      </c>
      <c r="L65" s="3" t="s">
        <v>473</v>
      </c>
      <c r="M65" s="3" t="s">
        <v>477</v>
      </c>
      <c r="N65" s="3" t="str">
        <f t="shared" si="0"/>
        <v>true</v>
      </c>
      <c r="O65" s="3" t="str">
        <f t="shared" si="1"/>
        <v>{ "workOsisID": "KJV", "bookName": "3 John", "bookSubtitle": "The Third Epistle of John ", "bookOsisID": "3John", "paratext": "3JN", "groups": ["New Testament", "Bible"], "aliases": ["3 John","3 Jhn","3 Jn","3 J","3John","3Jhn","3Joh","3Jn","3Jo","3J","III John","III Jhn","III Joh","III Jn","III Jo","3rd John","Third John"], "chapterLabel": "Chapter", "verseLabel": "Verse", "authors": ["The Apostle John"], "dateEarliest": "0090-01-01", "dateLatest": "0110-12-31", "hasData": true, "traditions": ["protestant","lds","catholic","eastern orthodox","oriental orthodox"] },</v>
      </c>
    </row>
    <row r="66" spans="1:15" s="3" customFormat="1" x14ac:dyDescent="0.2">
      <c r="A66" s="3" t="s">
        <v>180</v>
      </c>
      <c r="B66" s="3" t="s">
        <v>517</v>
      </c>
      <c r="C66" s="3" t="s">
        <v>180</v>
      </c>
      <c r="D66" s="3" t="s">
        <v>181</v>
      </c>
      <c r="E66" s="3" t="s">
        <v>454</v>
      </c>
      <c r="F66" s="3" t="s">
        <v>792</v>
      </c>
      <c r="G66" s="6" t="s">
        <v>483</v>
      </c>
      <c r="H66" s="6" t="s">
        <v>683</v>
      </c>
      <c r="I66" s="6" t="s">
        <v>796</v>
      </c>
      <c r="J66" s="14" t="s">
        <v>1114</v>
      </c>
      <c r="K66" s="14" t="s">
        <v>1105</v>
      </c>
      <c r="L66" s="3" t="s">
        <v>473</v>
      </c>
      <c r="M66" s="3" t="s">
        <v>477</v>
      </c>
      <c r="N66" s="3" t="str">
        <f t="shared" si="0"/>
        <v>true</v>
      </c>
      <c r="O66" s="3" t="str">
        <f t="shared" si="1"/>
        <v>{ "workOsisID": "KJV", "bookName": "Jude", "bookSubtitle": "The Epistle of Jude ", "bookOsisID": "Jude", "paratext": "JUD", "groups": ["New Testament", "Bible"], "aliases": ["Jd"], "chapterLabel": "Chapter", "verseLabel": "Verse", "authors": ["Jude"], "dateEarliest": "0060-01-01", "dateLatest": "0110-12-31", "hasData": true, "traditions": ["protestant","lds","catholic","eastern orthodox","oriental orthodox"] },</v>
      </c>
    </row>
    <row r="67" spans="1:15" s="3" customFormat="1" x14ac:dyDescent="0.2">
      <c r="A67" s="3" t="s">
        <v>183</v>
      </c>
      <c r="B67" s="3" t="s">
        <v>518</v>
      </c>
      <c r="C67" s="3" t="s">
        <v>182</v>
      </c>
      <c r="D67" s="3" t="s">
        <v>184</v>
      </c>
      <c r="E67" s="3" t="s">
        <v>454</v>
      </c>
      <c r="F67" s="3" t="s">
        <v>793</v>
      </c>
      <c r="G67" s="6" t="s">
        <v>483</v>
      </c>
      <c r="H67" s="6" t="s">
        <v>670</v>
      </c>
      <c r="I67" s="6" t="s">
        <v>796</v>
      </c>
      <c r="J67" s="14" t="s">
        <v>1123</v>
      </c>
      <c r="K67" s="14" t="s">
        <v>1124</v>
      </c>
      <c r="L67" s="3" t="s">
        <v>473</v>
      </c>
      <c r="M67" s="3" t="s">
        <v>477</v>
      </c>
      <c r="N67" s="3" t="str">
        <f t="shared" ref="N67:N73" si="3">"true"</f>
        <v>true</v>
      </c>
      <c r="O67" s="3" t="str">
        <f t="shared" ref="O67:O129" si="4">"{ ""workOsisID"": """&amp;G67&amp;""", ""bookName"": """&amp;A67&amp;""", ""bookSubtitle"": """&amp;B67&amp;""", ""bookOsisID"": """&amp;C67&amp;""", ""paratext"": "&amp;IF(D67="","null",""""&amp;D67&amp;"""")&amp;", ""groups"": "&amp;E67&amp;", ""aliases"": "&amp;F67&amp;", ""chapterLabel"": """&amp;L67&amp;""", ""verseLabel"": """&amp;M67&amp;""", ""authors"": "&amp;H67&amp;", ""dateEarliest"": """&amp;J67&amp;""", ""dateLatest"": """&amp;K67&amp;""", ""hasData"": "&amp;N67&amp;", ""traditions"": "&amp;I67&amp;" },"</f>
        <v>{ "workOsisID": "KJV", "bookName": "Revelation", "bookSubtitle": "The Revelation of Jesus Christ (or The Apocalypse of John) ", "bookOsisID": "Rev", "paratext": "REV", "groups": ["New Testament", "Bible"], "aliases": ["Re","The Revelation"], "chapterLabel": "Chapter", "verseLabel": "Verse", "authors": ["John the Revelator"], "dateEarliest": "0068-01-01", "dateLatest": "0096-12-31", "hasData": true, "traditions": ["protestant","lds","catholic","eastern orthodox","oriental orthodox"] },</v>
      </c>
    </row>
    <row r="68" spans="1:15" s="3" customFormat="1" x14ac:dyDescent="0.2">
      <c r="A68" s="3" t="s">
        <v>186</v>
      </c>
      <c r="B68" s="3" t="str">
        <f t="shared" ref="B68:B69" si="5">"The Book of "&amp;A68</f>
        <v>The Book of Tobit</v>
      </c>
      <c r="C68" s="3" t="s">
        <v>185</v>
      </c>
      <c r="D68" s="3" t="s">
        <v>187</v>
      </c>
      <c r="E68" s="3" t="s">
        <v>456</v>
      </c>
      <c r="F68" s="3" t="s">
        <v>677</v>
      </c>
      <c r="G68" s="6" t="s">
        <v>482</v>
      </c>
      <c r="H68" t="s">
        <v>682</v>
      </c>
      <c r="I68" s="6" t="s">
        <v>811</v>
      </c>
      <c r="J68" s="14" t="s">
        <v>1151</v>
      </c>
      <c r="K68" s="14" t="s">
        <v>1152</v>
      </c>
      <c r="L68" s="3" t="s">
        <v>473</v>
      </c>
      <c r="M68" s="3" t="s">
        <v>477</v>
      </c>
      <c r="N68" s="3" t="str">
        <f t="shared" si="3"/>
        <v>true</v>
      </c>
      <c r="O68" s="3" t="str">
        <f t="shared" si="4"/>
        <v>{ "workOsisID": "KJVA", "bookName": "Tobit", "bookSubtitle": "The Book of Tobit", "bookOsisID": "Tob", "paratext": "TOB", "groups": ["Deuterocannon", "Apocrypha"], "aliases": [], "chapterLabel": "Chapter", "verseLabel": "Verse", "authors": ["Tobit"], "dateEarliest": "-0225-01-01", "dateLatest": "-0175-12-31", "hasData": true, "traditions": ["roman catholic","eastern orthodox","oriental orthodox","ethiopian orthodox"] },</v>
      </c>
    </row>
    <row r="69" spans="1:15" s="3" customFormat="1" x14ac:dyDescent="0.2">
      <c r="A69" s="3" t="s">
        <v>189</v>
      </c>
      <c r="B69" s="3" t="str">
        <f t="shared" si="5"/>
        <v>The Book of Judith</v>
      </c>
      <c r="C69" s="3" t="s">
        <v>188</v>
      </c>
      <c r="D69" s="3" t="s">
        <v>190</v>
      </c>
      <c r="E69" s="3" t="s">
        <v>456</v>
      </c>
      <c r="F69" s="3" t="s">
        <v>677</v>
      </c>
      <c r="G69" s="6" t="s">
        <v>482</v>
      </c>
      <c r="H69" t="s">
        <v>681</v>
      </c>
      <c r="I69" s="6" t="s">
        <v>811</v>
      </c>
      <c r="J69" s="14" t="s">
        <v>1153</v>
      </c>
      <c r="K69" s="14" t="s">
        <v>1074</v>
      </c>
      <c r="L69" s="3" t="s">
        <v>473</v>
      </c>
      <c r="M69" s="3" t="s">
        <v>477</v>
      </c>
      <c r="N69" s="3" t="str">
        <f t="shared" si="3"/>
        <v>true</v>
      </c>
      <c r="O69" s="3" t="str">
        <f t="shared" si="4"/>
        <v>{ "workOsisID": "KJVA", "bookName": "Judith", "bookSubtitle": "The Book of Judith", "bookOsisID": "Jdt", "paratext": "JDT", "groups": ["Deuterocannon", "Apocrypha"], "aliases": [], "chapterLabel": "Chapter", "verseLabel": "Verse", "authors": ["Judith"], "dateEarliest": "-0150-01-01", "dateLatest": "-0100-12-31", "hasData": true, "traditions": ["roman catholic","eastern orthodox","oriental orthodox","ethiopian orthodox"] },</v>
      </c>
    </row>
    <row r="70" spans="1:15" x14ac:dyDescent="0.2">
      <c r="A70" t="s">
        <v>379</v>
      </c>
      <c r="C70" t="s">
        <v>191</v>
      </c>
      <c r="D70" t="s">
        <v>192</v>
      </c>
      <c r="E70" t="s">
        <v>456</v>
      </c>
      <c r="F70" t="s">
        <v>677</v>
      </c>
      <c r="H70" t="s">
        <v>822</v>
      </c>
      <c r="I70" s="7" t="s">
        <v>811</v>
      </c>
      <c r="J70" s="14" t="s">
        <v>1154</v>
      </c>
      <c r="K70" s="14" t="s">
        <v>1155</v>
      </c>
      <c r="L70" t="s">
        <v>473</v>
      </c>
      <c r="M70" t="s">
        <v>477</v>
      </c>
      <c r="N70" t="str">
        <f>"false"</f>
        <v>false</v>
      </c>
      <c r="O70" s="3" t="str">
        <f t="shared" si="4"/>
        <v>{ "workOsisID": "", "bookName": "Greek Esther", "bookSubtitle": "", "bookOsisID": "EsthGr", "paratext": "ESG", "groups": ["Deuterocannon", "Apocrypha"], "aliases": [], "chapterLabel": "Chapter", "verseLabel": "Verse", "authors": ["Mordecai","Esther"], "dateEarliest": "-0100-01-01", "dateLatest": "-0001-12-31", "hasData": false, "traditions": ["roman catholic","eastern orthodox","oriental orthodox","ethiopian orthodox"] },</v>
      </c>
    </row>
    <row r="71" spans="1:15" s="3" customFormat="1" x14ac:dyDescent="0.2">
      <c r="A71" s="3" t="s">
        <v>194</v>
      </c>
      <c r="B71" s="3" t="s">
        <v>519</v>
      </c>
      <c r="C71" s="3" t="s">
        <v>193</v>
      </c>
      <c r="D71" s="3" t="s">
        <v>195</v>
      </c>
      <c r="E71" s="3" t="s">
        <v>456</v>
      </c>
      <c r="F71" s="3" t="s">
        <v>1232</v>
      </c>
      <c r="G71" s="6" t="s">
        <v>482</v>
      </c>
      <c r="H71" t="s">
        <v>822</v>
      </c>
      <c r="I71" s="6" t="s">
        <v>811</v>
      </c>
      <c r="J71" s="14" t="s">
        <v>1156</v>
      </c>
      <c r="K71" s="14" t="s">
        <v>1157</v>
      </c>
      <c r="L71" s="3" t="s">
        <v>473</v>
      </c>
      <c r="M71" s="3" t="s">
        <v>477</v>
      </c>
      <c r="N71" s="3" t="str">
        <f t="shared" si="3"/>
        <v>true</v>
      </c>
      <c r="O71" s="3" t="str">
        <f t="shared" si="4"/>
        <v>{ "workOsisID": "KJVA", "bookName": "Additions to Esther", "bookSubtitle": "The Rest of the Chapters of the Book of Esther, which are found neither in the Hebrew, nor in the Chaldee", "bookOsisID": "AddEsth", "paratext": "ADE", "groups": ["Deuterocannon", "Apocrypha"], "aliases": ["Aes"], "chapterLabel": "Chapter", "verseLabel": "Verse", "authors": ["Mordecai","Esther"], "dateEarliest": "-0116-01-01", "dateLatest": "-0048-12-31", "hasData": true, "traditions": ["roman catholic","eastern orthodox","oriental orthodox","ethiopian orthodox"] },</v>
      </c>
    </row>
    <row r="72" spans="1:15" s="3" customFormat="1" x14ac:dyDescent="0.2">
      <c r="A72" s="3" t="s">
        <v>197</v>
      </c>
      <c r="B72" s="3" t="s">
        <v>561</v>
      </c>
      <c r="C72" s="3" t="s">
        <v>196</v>
      </c>
      <c r="D72" s="3" t="s">
        <v>198</v>
      </c>
      <c r="E72" s="3" t="s">
        <v>456</v>
      </c>
      <c r="F72" s="3" t="s">
        <v>720</v>
      </c>
      <c r="G72" s="6" t="s">
        <v>482</v>
      </c>
      <c r="H72" t="s">
        <v>680</v>
      </c>
      <c r="I72" s="6" t="s">
        <v>811</v>
      </c>
      <c r="J72" s="14" t="s">
        <v>1154</v>
      </c>
      <c r="K72" s="14" t="s">
        <v>1125</v>
      </c>
      <c r="L72" s="3" t="s">
        <v>473</v>
      </c>
      <c r="M72" s="3" t="s">
        <v>477</v>
      </c>
      <c r="N72" s="3" t="str">
        <f t="shared" si="3"/>
        <v>true</v>
      </c>
      <c r="O72" s="3" t="str">
        <f t="shared" si="4"/>
        <v>{ "workOsisID": "KJVA", "bookName": "Wisdom", "bookSubtitle": "The Wisdom of Solomon", "bookOsisID": "Wis", "paratext": "WIS", "groups": ["Deuterocannon", "Apocrypha"], "aliases": ["Wisdom of Solomon"], "chapterLabel": "Chapter", "verseLabel": "Verse", "authors": ["Solomon"], "dateEarliest": "-0100-01-01", "dateLatest": "0010-12-31", "hasData": true, "traditions": ["roman catholic","eastern orthodox","oriental orthodox","ethiopian orthodox"] },</v>
      </c>
    </row>
    <row r="73" spans="1:15" s="3" customFormat="1" x14ac:dyDescent="0.2">
      <c r="A73" s="3" t="s">
        <v>200</v>
      </c>
      <c r="B73" s="3" t="s">
        <v>520</v>
      </c>
      <c r="C73" s="3" t="s">
        <v>199</v>
      </c>
      <c r="D73" s="3" t="s">
        <v>201</v>
      </c>
      <c r="E73" s="3" t="s">
        <v>456</v>
      </c>
      <c r="F73" s="3" t="s">
        <v>721</v>
      </c>
      <c r="G73" s="6" t="s">
        <v>482</v>
      </c>
      <c r="H73" t="s">
        <v>823</v>
      </c>
      <c r="I73" s="6" t="s">
        <v>811</v>
      </c>
      <c r="J73" s="14" t="s">
        <v>1160</v>
      </c>
      <c r="K73" s="14" t="s">
        <v>1152</v>
      </c>
      <c r="L73" s="3" t="s">
        <v>473</v>
      </c>
      <c r="M73" s="3" t="s">
        <v>477</v>
      </c>
      <c r="N73" s="3" t="str">
        <f t="shared" si="3"/>
        <v>true</v>
      </c>
      <c r="O73" s="3" t="str">
        <f t="shared" si="4"/>
        <v>{ "workOsisID": "KJVA", "bookName": "Sirach", "bookSubtitle": "The Wisdom of Jesus the Son of Sirach", "bookOsisID": "Sir", "paratext": "SIR", "groups": ["Deuterocannon", "Apocrypha"], "aliases": ["Ecclesiasticus"], "chapterLabel": "Chapter", "verseLabel": "Verse", "authors": ["Jesus son of Sirach"], "dateEarliest": "-0196-01-01", "dateLatest": "-0175-12-31", "hasData": true, "traditions": ["roman catholic","eastern orthodox","oriental orthodox","ethiopian orthodox"] },</v>
      </c>
    </row>
    <row r="74" spans="1:15" x14ac:dyDescent="0.2">
      <c r="A74" s="3" t="s">
        <v>203</v>
      </c>
      <c r="B74" s="3" t="s">
        <v>521</v>
      </c>
      <c r="C74" s="3" t="s">
        <v>202</v>
      </c>
      <c r="D74" s="3" t="s">
        <v>204</v>
      </c>
      <c r="E74" s="3" t="s">
        <v>456</v>
      </c>
      <c r="F74" s="3" t="s">
        <v>677</v>
      </c>
      <c r="G74" s="6" t="s">
        <v>482</v>
      </c>
      <c r="H74" s="3" t="s">
        <v>824</v>
      </c>
      <c r="I74" s="6" t="s">
        <v>811</v>
      </c>
      <c r="J74" s="16" t="s">
        <v>1084</v>
      </c>
      <c r="K74" s="16" t="s">
        <v>1074</v>
      </c>
      <c r="L74" s="3" t="s">
        <v>473</v>
      </c>
      <c r="M74" s="3" t="s">
        <v>477</v>
      </c>
      <c r="N74" s="3" t="str">
        <f t="shared" ref="N74:N133" si="6">"false"</f>
        <v>false</v>
      </c>
      <c r="O74" s="3" t="str">
        <f t="shared" si="4"/>
        <v>{ "workOsisID": "KJVA", "bookName": "Baruch", "bookSubtitle": "Baruch the Prophet", "bookOsisID": "Bar", "paratext": "BAR", "groups": ["Deuterocannon", "Apocrypha"], "aliases": [], "chapterLabel": "Chapter", "verseLabel": "Verse", "authors": ["Baruch","Jeremiah"], "dateEarliest": "-0200-01-01", "dateLatest": "-0100-12-31", "hasData": false, "traditions": ["roman catholic","eastern orthodox","oriental orthodox","ethiopian orthodox"] },</v>
      </c>
    </row>
    <row r="75" spans="1:15" s="3" customFormat="1" x14ac:dyDescent="0.2">
      <c r="A75" s="3" t="s">
        <v>563</v>
      </c>
      <c r="B75" s="3" t="s">
        <v>562</v>
      </c>
      <c r="C75" s="3" t="s">
        <v>205</v>
      </c>
      <c r="D75" s="3" t="s">
        <v>206</v>
      </c>
      <c r="E75" s="3" t="s">
        <v>456</v>
      </c>
      <c r="F75" s="3" t="s">
        <v>1233</v>
      </c>
      <c r="G75" s="6" t="s">
        <v>482</v>
      </c>
      <c r="H75" s="3" t="s">
        <v>659</v>
      </c>
      <c r="I75" s="6" t="s">
        <v>811</v>
      </c>
      <c r="J75" s="16" t="s">
        <v>1084</v>
      </c>
      <c r="K75" s="16" t="s">
        <v>1074</v>
      </c>
      <c r="L75" s="3" t="s">
        <v>473</v>
      </c>
      <c r="M75" s="3" t="s">
        <v>477</v>
      </c>
      <c r="N75" s="3" t="str">
        <f>"true"</f>
        <v>true</v>
      </c>
      <c r="O75" s="3" t="str">
        <f t="shared" si="4"/>
        <v>{ "workOsisID": "KJVA", "bookName": "Epistle of Jeremiah", "bookSubtitle": "The Epistle of Jeremiah", "bookOsisID": "EpJer", "paratext": "LJE", "groups": ["Deuterocannon", "Apocrypha"], "aliases": ["Epj","The Epistle of Jeremiah","The Letter of Jeremiah","Letter of Jeremiah"], "chapterLabel": "Chapter", "verseLabel": "Verse", "authors": ["Jeremiah"], "dateEarliest": "-0200-01-01", "dateLatest": "-0100-12-31", "hasData": true, "traditions": ["roman catholic","eastern orthodox","oriental orthodox","ethiopian orthodox"] },</v>
      </c>
    </row>
    <row r="76" spans="1:15" x14ac:dyDescent="0.2">
      <c r="A76" t="s">
        <v>381</v>
      </c>
      <c r="C76" t="s">
        <v>207</v>
      </c>
      <c r="D76" t="s">
        <v>208</v>
      </c>
      <c r="E76" t="s">
        <v>456</v>
      </c>
      <c r="F76" t="s">
        <v>677</v>
      </c>
      <c r="H76" t="s">
        <v>661</v>
      </c>
      <c r="I76" s="7" t="s">
        <v>811</v>
      </c>
      <c r="J76" s="14" t="s">
        <v>1161</v>
      </c>
      <c r="K76" s="14" t="s">
        <v>1085</v>
      </c>
      <c r="L76" t="s">
        <v>473</v>
      </c>
      <c r="M76" t="s">
        <v>477</v>
      </c>
      <c r="N76" t="str">
        <f t="shared" si="6"/>
        <v>false</v>
      </c>
      <c r="O76" s="3" t="str">
        <f t="shared" si="4"/>
        <v>{ "workOsisID": "", "bookName": "Greek Daniel", "bookSubtitle": "", "bookOsisID": "DanGr", "paratext": "DAG", "groups": ["Deuterocannon", "Apocrypha"], "aliases": [], "chapterLabel": "Chapter", "verseLabel": "Verse", "authors": ["Daniel"], "dateEarliest": "-0167-01-01", "dateLatest": "-0164-12-31", "hasData": false, "traditions": ["roman catholic","eastern orthodox","oriental orthodox","ethiopian orthodox"] },</v>
      </c>
    </row>
    <row r="77" spans="1:15" x14ac:dyDescent="0.2">
      <c r="A77" t="s">
        <v>210</v>
      </c>
      <c r="C77" t="s">
        <v>209</v>
      </c>
      <c r="E77" t="s">
        <v>456</v>
      </c>
      <c r="F77" t="s">
        <v>677</v>
      </c>
      <c r="H77" t="s">
        <v>661</v>
      </c>
      <c r="I77" s="7" t="s">
        <v>811</v>
      </c>
      <c r="J77" s="14" t="s">
        <v>1154</v>
      </c>
      <c r="K77" s="14" t="s">
        <v>1162</v>
      </c>
      <c r="L77" t="s">
        <v>473</v>
      </c>
      <c r="M77" t="s">
        <v>477</v>
      </c>
      <c r="N77" t="str">
        <f t="shared" si="6"/>
        <v>false</v>
      </c>
      <c r="O77" s="3" t="str">
        <f t="shared" si="4"/>
        <v>{ "workOsisID": "", "bookName": "Additions to Daniel", "bookSubtitle": "", "bookOsisID": "AddDan", "paratext": null, "groups": ["Deuterocannon", "Apocrypha"], "aliases": [], "chapterLabel": "Chapter", "verseLabel": "Verse", "authors": ["Daniel"], "dateEarliest": "-0100-01-01", "dateLatest": "-0050-12-31", "hasData": false, "traditions": ["roman catholic","eastern orthodox","oriental orthodox","ethiopian orthodox"] },</v>
      </c>
    </row>
    <row r="78" spans="1:15" s="3" customFormat="1" x14ac:dyDescent="0.2">
      <c r="A78" s="3" t="s">
        <v>212</v>
      </c>
      <c r="B78" s="3" t="s">
        <v>522</v>
      </c>
      <c r="C78" s="3" t="s">
        <v>211</v>
      </c>
      <c r="D78" s="3" t="s">
        <v>213</v>
      </c>
      <c r="E78" s="3" t="s">
        <v>456</v>
      </c>
      <c r="F78" s="3" t="s">
        <v>1231</v>
      </c>
      <c r="G78" s="6" t="s">
        <v>482</v>
      </c>
      <c r="H78" t="s">
        <v>679</v>
      </c>
      <c r="I78" s="6" t="s">
        <v>811</v>
      </c>
      <c r="J78" s="14" t="s">
        <v>1163</v>
      </c>
      <c r="K78" s="14" t="s">
        <v>1164</v>
      </c>
      <c r="L78" s="3" t="s">
        <v>473</v>
      </c>
      <c r="M78" s="3" t="s">
        <v>477</v>
      </c>
      <c r="N78" s="3" t="str">
        <f t="shared" ref="N78:N79" si="7">"true"</f>
        <v>true</v>
      </c>
      <c r="O78" s="3" t="str">
        <f t="shared" si="4"/>
        <v>{ "workOsisID": "KJVA", "bookName": "Prayer of Azariah", "bookSubtitle": "Song of the Three Holy Children", "bookOsisID": "PrAzar", "paratext": "S3Y", "groups": ["Deuterocannon", "Apocrypha"], "aliases": ["Song of the Three Children","Song of the Three Holy Children","PrAzar","S3Y","Aza"], "chapterLabel": "Chapter", "verseLabel": "Verse", "authors": ["Azariah"], "dateEarliest": "-0160-01-01", "dateLatest": "-0140-12-31", "hasData": true, "traditions": ["roman catholic","eastern orthodox","oriental orthodox","ethiopian orthodox"] },</v>
      </c>
    </row>
    <row r="79" spans="1:15" s="3" customFormat="1" x14ac:dyDescent="0.2">
      <c r="A79" s="3" t="s">
        <v>215</v>
      </c>
      <c r="B79" s="3" t="s">
        <v>523</v>
      </c>
      <c r="C79" s="3" t="s">
        <v>214</v>
      </c>
      <c r="D79" s="3" t="s">
        <v>216</v>
      </c>
      <c r="E79" s="3" t="s">
        <v>456</v>
      </c>
      <c r="F79" s="3" t="s">
        <v>677</v>
      </c>
      <c r="G79" s="6" t="s">
        <v>482</v>
      </c>
      <c r="H79" t="s">
        <v>661</v>
      </c>
      <c r="I79" s="6" t="s">
        <v>811</v>
      </c>
      <c r="J79" s="14" t="s">
        <v>1154</v>
      </c>
      <c r="K79" s="14" t="s">
        <v>1162</v>
      </c>
      <c r="L79" s="3" t="s">
        <v>473</v>
      </c>
      <c r="M79" s="3" t="s">
        <v>477</v>
      </c>
      <c r="N79" s="3" t="str">
        <f t="shared" si="7"/>
        <v>true</v>
      </c>
      <c r="O79" s="3" t="str">
        <f t="shared" si="4"/>
        <v>{ "workOsisID": "KJVA", "bookName": "Susanna", "bookSubtitle": "History of Susanna", "bookOsisID": "Sus", "paratext": "SUS", "groups": ["Deuterocannon", "Apocrypha"], "aliases": [], "chapterLabel": "Chapter", "verseLabel": "Verse", "authors": ["Daniel"], "dateEarliest": "-0100-01-01", "dateLatest": "-0050-12-31", "hasData": true, "traditions": ["roman catholic","eastern orthodox","oriental orthodox","ethiopian orthodox"] },</v>
      </c>
    </row>
    <row r="80" spans="1:15" x14ac:dyDescent="0.2">
      <c r="A80" s="3" t="s">
        <v>218</v>
      </c>
      <c r="B80" s="3"/>
      <c r="C80" s="3" t="s">
        <v>217</v>
      </c>
      <c r="D80" s="3" t="s">
        <v>219</v>
      </c>
      <c r="E80" s="3" t="s">
        <v>456</v>
      </c>
      <c r="F80" s="3" t="s">
        <v>677</v>
      </c>
      <c r="G80" s="6" t="s">
        <v>482</v>
      </c>
      <c r="H80" s="3" t="s">
        <v>661</v>
      </c>
      <c r="I80" s="6" t="s">
        <v>811</v>
      </c>
      <c r="J80" s="16" t="s">
        <v>1154</v>
      </c>
      <c r="K80" s="16" t="s">
        <v>1162</v>
      </c>
      <c r="L80" s="3" t="s">
        <v>473</v>
      </c>
      <c r="M80" s="3" t="s">
        <v>477</v>
      </c>
      <c r="N80" s="3" t="str">
        <f>"true"</f>
        <v>true</v>
      </c>
      <c r="O80" s="3" t="str">
        <f t="shared" si="4"/>
        <v>{ "workOsisID": "KJVA", "bookName": "Bel and the Dragon", "bookSubtitle": "", "bookOsisID": "Bel", "paratext": "BEL", "groups": ["Deuterocannon", "Apocrypha"], "aliases": [], "chapterLabel": "Chapter", "verseLabel": "Verse", "authors": ["Daniel"], "dateEarliest": "-0100-01-01", "dateLatest": "-0050-12-31", "hasData": true, "traditions": ["roman catholic","eastern orthodox","oriental orthodox","ethiopian orthodox"] },</v>
      </c>
    </row>
    <row r="81" spans="1:15" s="3" customFormat="1" x14ac:dyDescent="0.2">
      <c r="A81" s="3" t="s">
        <v>221</v>
      </c>
      <c r="B81" s="3" t="s">
        <v>567</v>
      </c>
      <c r="C81" s="3" t="s">
        <v>220</v>
      </c>
      <c r="D81" s="3" t="s">
        <v>222</v>
      </c>
      <c r="E81" s="3" t="s">
        <v>456</v>
      </c>
      <c r="F81" s="3" t="s">
        <v>1229</v>
      </c>
      <c r="G81" s="6" t="s">
        <v>482</v>
      </c>
      <c r="H81" t="s">
        <v>677</v>
      </c>
      <c r="I81" s="6" t="s">
        <v>811</v>
      </c>
      <c r="J81" s="14" t="s">
        <v>1154</v>
      </c>
      <c r="K81" s="14" t="s">
        <v>1165</v>
      </c>
      <c r="L81" s="3" t="s">
        <v>473</v>
      </c>
      <c r="M81" s="3" t="s">
        <v>477</v>
      </c>
      <c r="N81" s="3" t="str">
        <f t="shared" ref="N81:N82" si="8">"true"</f>
        <v>true</v>
      </c>
      <c r="O81" s="3" t="str">
        <f t="shared" si="4"/>
        <v>{ "workOsisID": "KJVA", "bookName": "1 Maccabees", "bookSubtitle": "The First Book of the Maccabees", "bookOsisID": "1Macc", "paratext": "1MA", "groups": ["Deuterocannon", "Apocrypha"], "aliases": ["Ma1"], "chapterLabel": "Chapter", "verseLabel": "Verse", "authors": [], "dateEarliest": "-0100-01-01", "dateLatest": "-0090-12-31", "hasData": true, "traditions": ["roman catholic","eastern orthodox","oriental orthodox","ethiopian orthodox"] },</v>
      </c>
    </row>
    <row r="82" spans="1:15" s="3" customFormat="1" x14ac:dyDescent="0.2">
      <c r="A82" s="3" t="s">
        <v>224</v>
      </c>
      <c r="B82" s="3" t="s">
        <v>564</v>
      </c>
      <c r="C82" s="3" t="s">
        <v>223</v>
      </c>
      <c r="D82" s="3" t="s">
        <v>225</v>
      </c>
      <c r="E82" s="3" t="s">
        <v>456</v>
      </c>
      <c r="F82" s="3" t="s">
        <v>1230</v>
      </c>
      <c r="G82" s="6" t="s">
        <v>482</v>
      </c>
      <c r="H82" t="s">
        <v>677</v>
      </c>
      <c r="I82" s="6" t="s">
        <v>811</v>
      </c>
      <c r="J82" s="14" t="s">
        <v>1166</v>
      </c>
      <c r="K82" s="14" t="s">
        <v>1167</v>
      </c>
      <c r="L82" s="3" t="s">
        <v>473</v>
      </c>
      <c r="M82" s="3" t="s">
        <v>477</v>
      </c>
      <c r="N82" s="3" t="str">
        <f t="shared" si="8"/>
        <v>true</v>
      </c>
      <c r="O82" s="3" t="str">
        <f t="shared" si="4"/>
        <v>{ "workOsisID": "KJVA", "bookName": "2 Maccabees", "bookSubtitle": "The Second Book of the Maccabees", "bookOsisID": "2Macc", "paratext": "2MA", "groups": ["Deuterocannon", "Apocrypha"], "aliases": ["Ma2"], "chapterLabel": "Chapter", "verseLabel": "Verse", "authors": [], "dateEarliest": "-0124-01-01", "dateLatest": "-0120-12-31", "hasData": true, "traditions": ["roman catholic","eastern orthodox","oriental orthodox","ethiopian orthodox"] },</v>
      </c>
    </row>
    <row r="83" spans="1:15" x14ac:dyDescent="0.2">
      <c r="A83" t="s">
        <v>227</v>
      </c>
      <c r="B83" t="s">
        <v>566</v>
      </c>
      <c r="C83" t="s">
        <v>226</v>
      </c>
      <c r="D83" t="s">
        <v>228</v>
      </c>
      <c r="E83" t="s">
        <v>456</v>
      </c>
      <c r="F83" t="s">
        <v>677</v>
      </c>
      <c r="H83" t="s">
        <v>677</v>
      </c>
      <c r="I83" s="7" t="s">
        <v>812</v>
      </c>
      <c r="J83" s="14" t="s">
        <v>1154</v>
      </c>
      <c r="K83" s="14" t="s">
        <v>1162</v>
      </c>
      <c r="L83" t="s">
        <v>473</v>
      </c>
      <c r="M83" t="s">
        <v>477</v>
      </c>
      <c r="N83" t="str">
        <f t="shared" si="6"/>
        <v>false</v>
      </c>
      <c r="O83" s="3" t="str">
        <f>"{ ""workOsisID"": """&amp;G83&amp;""", ""bookName"": """&amp;A83&amp;""", ""bookSubtitle"": """&amp;B83&amp;""", ""bookOsisID"": """&amp;C83&amp;""", ""paratext"": "&amp;IF(D83="","null",""""&amp;D83&amp;"""")&amp;", ""groups"": "&amp;E83&amp;", ""aliases"": "&amp;F83&amp;", ""chapterLabel"": """&amp;L83&amp;""", ""verseLabel"": """&amp;M83&amp;""", ""authors"": "&amp;H83&amp;", ""dateEarliest"": """&amp;J83&amp;""", ""dateLatest"": """&amp;K83&amp;""", ""hasData"": "&amp;N83&amp;", ""traditions"": "&amp;I83&amp;" },"</f>
        <v>{ "workOsisID": "", "bookName": "3 Maccabees", "bookSubtitle": "The Third Book of the Maccabees", "bookOsisID": "3Macc", "paratext": "3MA", "groups": ["Deuterocannon", "Apocrypha"], "aliases": [], "chapterLabel": "Chapter", "verseLabel": "Verse", "authors": [], "dateEarliest": "-0100-01-01", "dateLatest": "-0050-12-31", "hasData": false, "traditions": ["eastern orthodox"] },</v>
      </c>
    </row>
    <row r="84" spans="1:15" x14ac:dyDescent="0.2">
      <c r="A84" t="s">
        <v>230</v>
      </c>
      <c r="B84" t="s">
        <v>565</v>
      </c>
      <c r="C84" t="s">
        <v>229</v>
      </c>
      <c r="D84" t="s">
        <v>231</v>
      </c>
      <c r="E84" t="s">
        <v>456</v>
      </c>
      <c r="F84" t="s">
        <v>677</v>
      </c>
      <c r="H84" t="s">
        <v>677</v>
      </c>
      <c r="I84" s="7" t="s">
        <v>812</v>
      </c>
      <c r="J84" s="14" t="s">
        <v>1126</v>
      </c>
      <c r="K84" s="14" t="s">
        <v>1127</v>
      </c>
      <c r="L84" t="s">
        <v>473</v>
      </c>
      <c r="M84" t="s">
        <v>477</v>
      </c>
      <c r="N84" t="str">
        <f t="shared" si="6"/>
        <v>false</v>
      </c>
      <c r="O84" s="3" t="str">
        <f>"{ ""workOsisID"": """&amp;G84&amp;""", ""bookName"": """&amp;A84&amp;""", ""bookSubtitle"": """&amp;B84&amp;""", ""bookOsisID"": """&amp;C84&amp;""", ""paratext"": "&amp;IF(D84="","null",""""&amp;D84&amp;"""")&amp;", ""groups"": "&amp;E84&amp;", ""aliases"": "&amp;F84&amp;", ""chapterLabel"": """&amp;L84&amp;""", ""verseLabel"": """&amp;M84&amp;""", ""authors"": "&amp;H84&amp;", ""dateEarliest"": """&amp;J84&amp;""", ""dateLatest"": """&amp;K84&amp;""", ""hasData"": "&amp;N84&amp;", ""traditions"": "&amp;I84&amp;" },"</f>
        <v>{ "workOsisID": "", "bookName": "4 Maccabees", "bookSubtitle": "The Fourth Book of the Maccabees", "bookOsisID": "4Macc", "paratext": "4MA", "groups": ["Deuterocannon", "Apocrypha"], "aliases": [], "chapterLabel": "Chapter", "verseLabel": "Verse", "authors": [], "dateEarliest": "0010-01-01", "dateLatest": "0080-12-31", "hasData": false, "traditions": ["eastern orthodox"] },</v>
      </c>
    </row>
    <row r="85" spans="1:15" s="3" customFormat="1" x14ac:dyDescent="0.2">
      <c r="A85" s="3" t="s">
        <v>233</v>
      </c>
      <c r="B85" s="3" t="s">
        <v>524</v>
      </c>
      <c r="C85" s="3" t="s">
        <v>232</v>
      </c>
      <c r="D85" s="3" t="s">
        <v>234</v>
      </c>
      <c r="E85" s="3" t="s">
        <v>456</v>
      </c>
      <c r="F85" s="3" t="s">
        <v>677</v>
      </c>
      <c r="G85" s="6" t="s">
        <v>482</v>
      </c>
      <c r="H85" t="s">
        <v>678</v>
      </c>
      <c r="I85" s="6" t="s">
        <v>813</v>
      </c>
      <c r="J85" s="14" t="s">
        <v>1084</v>
      </c>
      <c r="K85" s="14" t="s">
        <v>1128</v>
      </c>
      <c r="L85" s="3" t="s">
        <v>473</v>
      </c>
      <c r="M85" s="3" t="s">
        <v>477</v>
      </c>
      <c r="N85" s="3" t="str">
        <f t="shared" ref="N85:N87" si="9">"true"</f>
        <v>true</v>
      </c>
      <c r="O85" s="3" t="str">
        <f t="shared" si="4"/>
        <v>{ "workOsisID": "KJVA", "bookName": "Prayer of Manasseh", "bookSubtitle": "The Prayer of Manasses King of Juda, when he was holden captive in Babylon", "bookOsisID": "PrMan", "paratext": "MAN", "groups": ["Deuterocannon", "Apocrypha"], "aliases": [], "chapterLabel": "Chapter", "verseLabel": "Verse", "authors": ["Manasseh"], "dateEarliest": "-0200-01-01", "dateLatest": "0000-12-31", "hasData": true, "traditions": ["eastern orthodox","oriental orthodox","ethiopian orthodox"] },</v>
      </c>
    </row>
    <row r="86" spans="1:15" x14ac:dyDescent="0.2">
      <c r="A86" s="3" t="s">
        <v>236</v>
      </c>
      <c r="B86" s="3" t="s">
        <v>568</v>
      </c>
      <c r="C86" s="3" t="s">
        <v>235</v>
      </c>
      <c r="D86" s="3" t="s">
        <v>237</v>
      </c>
      <c r="E86" s="3" t="s">
        <v>456</v>
      </c>
      <c r="F86" s="3" t="s">
        <v>1227</v>
      </c>
      <c r="G86" s="6" t="s">
        <v>482</v>
      </c>
      <c r="H86" t="s">
        <v>703</v>
      </c>
      <c r="I86" s="6" t="s">
        <v>812</v>
      </c>
      <c r="J86" s="14" t="s">
        <v>1084</v>
      </c>
      <c r="K86" s="14" t="s">
        <v>1074</v>
      </c>
      <c r="L86" s="3" t="s">
        <v>473</v>
      </c>
      <c r="M86" s="3" t="s">
        <v>477</v>
      </c>
      <c r="N86" s="3" t="str">
        <f t="shared" si="9"/>
        <v>true</v>
      </c>
      <c r="O86" s="3" t="str">
        <f t="shared" si="4"/>
        <v>{ "workOsisID": "KJVA", "bookName": "1 Esdras", "bookSubtitle": "The First Book of Esdras", "bookOsisID": "1Esd", "paratext": "1ES", "groups": ["Deuterocannon", "Apocrypha"], "aliases": ["Es1"], "chapterLabel": "Chapter", "verseLabel": "Verse", "authors": ["Ezra"], "dateEarliest": "-0200-01-01", "dateLatest": "-0100-12-31", "hasData": true, "traditions": ["eastern orthodox"] },</v>
      </c>
    </row>
    <row r="87" spans="1:15" s="3" customFormat="1" x14ac:dyDescent="0.2">
      <c r="A87" s="3" t="s">
        <v>239</v>
      </c>
      <c r="B87" s="3" t="s">
        <v>569</v>
      </c>
      <c r="C87" s="3" t="s">
        <v>238</v>
      </c>
      <c r="D87" s="3" t="s">
        <v>240</v>
      </c>
      <c r="E87" s="3" t="s">
        <v>456</v>
      </c>
      <c r="F87" s="3" t="s">
        <v>1228</v>
      </c>
      <c r="G87" s="6" t="s">
        <v>482</v>
      </c>
      <c r="H87" t="s">
        <v>703</v>
      </c>
      <c r="I87" s="6" t="s">
        <v>812</v>
      </c>
      <c r="J87" s="14" t="s">
        <v>1100</v>
      </c>
      <c r="K87" s="14" t="s">
        <v>1168</v>
      </c>
      <c r="L87" s="3" t="s">
        <v>473</v>
      </c>
      <c r="M87" s="3" t="s">
        <v>477</v>
      </c>
      <c r="N87" s="3" t="str">
        <f t="shared" si="9"/>
        <v>true</v>
      </c>
      <c r="O87" s="3" t="str">
        <f t="shared" si="4"/>
        <v>{ "workOsisID": "KJVA", "bookName": "2 Esdras", "bookSubtitle": "The Second Book of Esdras", "bookOsisID": "2Esd", "paratext": "2ES", "groups": ["Deuterocannon", "Apocrypha"], "aliases": ["Es2"], "chapterLabel": "Chapter", "verseLabel": "Verse", "authors": ["Ezra"], "dateEarliest": "0070-01-01", "dateLatest": "0120-12-31", "hasData": true, "traditions": ["eastern orthodox"] },</v>
      </c>
    </row>
    <row r="88" spans="1:15" x14ac:dyDescent="0.2">
      <c r="A88" t="s">
        <v>382</v>
      </c>
      <c r="C88" t="s">
        <v>241</v>
      </c>
      <c r="D88" t="s">
        <v>242</v>
      </c>
      <c r="E88" t="s">
        <v>456</v>
      </c>
      <c r="F88" t="s">
        <v>677</v>
      </c>
      <c r="H88" t="s">
        <v>825</v>
      </c>
      <c r="I88" s="7" t="s">
        <v>814</v>
      </c>
      <c r="J88" s="14" t="s">
        <v>1084</v>
      </c>
      <c r="K88" s="14" t="s">
        <v>1074</v>
      </c>
      <c r="L88" t="s">
        <v>473</v>
      </c>
      <c r="M88" t="s">
        <v>477</v>
      </c>
      <c r="N88" t="str">
        <f t="shared" si="6"/>
        <v>false</v>
      </c>
      <c r="O88" s="3" t="str">
        <f t="shared" si="4"/>
        <v>{ "workOsisID": "", "bookName": "Psalm 151", "bookSubtitle": "", "bookOsisID": "AddPs", "paratext": "PS2", "groups": ["Deuterocannon", "Apocrypha"], "aliases": [], "chapterLabel": "Chapter", "verseLabel": "Verse", "authors": ["David"], "dateEarliest": "-0200-01-01", "dateLatest": "-0100-12-31", "hasData": false, "traditions": ["eastern orthodox","oriental orthodox"] },</v>
      </c>
    </row>
    <row r="89" spans="1:15" x14ac:dyDescent="0.2">
      <c r="A89" t="s">
        <v>243</v>
      </c>
      <c r="C89" t="s">
        <v>243</v>
      </c>
      <c r="D89" t="s">
        <v>244</v>
      </c>
      <c r="E89" t="s">
        <v>471</v>
      </c>
      <c r="F89" t="s">
        <v>677</v>
      </c>
      <c r="G89" s="7" t="s">
        <v>752</v>
      </c>
      <c r="H89" t="s">
        <v>677</v>
      </c>
      <c r="I89" s="7" t="s">
        <v>814</v>
      </c>
      <c r="J89" s="14" t="s">
        <v>1169</v>
      </c>
      <c r="K89" s="14" t="s">
        <v>1138</v>
      </c>
      <c r="L89" t="s">
        <v>473</v>
      </c>
      <c r="M89" t="s">
        <v>477</v>
      </c>
      <c r="N89" t="str">
        <f t="shared" si="6"/>
        <v>false</v>
      </c>
      <c r="O89" s="3" t="str">
        <f t="shared" si="4"/>
        <v>{ "workOsisID": "Rahlf", "bookName": "Odes", "bookSubtitle": "", "bookOsisID": "Odes", "paratext": "ODA", "groups": ["Rahlfs' LXX", "Apocrypha"], "aliases": [], "chapterLabel": "Chapter", "verseLabel": "Verse", "authors": [], "dateEarliest": "0001-01-01", "dateLatest": "0200-12-31", "hasData": false, "traditions": ["eastern orthodox","oriental orthodox"] },</v>
      </c>
    </row>
    <row r="90" spans="1:15" x14ac:dyDescent="0.2">
      <c r="A90" t="s">
        <v>246</v>
      </c>
      <c r="C90" t="s">
        <v>245</v>
      </c>
      <c r="D90" t="s">
        <v>247</v>
      </c>
      <c r="E90" t="s">
        <v>471</v>
      </c>
      <c r="F90" t="s">
        <v>677</v>
      </c>
      <c r="G90" s="7" t="s">
        <v>752</v>
      </c>
      <c r="H90" t="s">
        <v>680</v>
      </c>
      <c r="I90" s="7" t="s">
        <v>815</v>
      </c>
      <c r="J90" s="14" t="s">
        <v>1170</v>
      </c>
      <c r="K90" s="14" t="s">
        <v>1157</v>
      </c>
      <c r="L90" t="s">
        <v>473</v>
      </c>
      <c r="M90" t="s">
        <v>477</v>
      </c>
      <c r="N90" t="str">
        <f t="shared" si="6"/>
        <v>false</v>
      </c>
      <c r="O90" s="3" t="str">
        <f t="shared" si="4"/>
        <v>{ "workOsisID": "Rahlf", "bookName": "Psalms of Solomon", "bookSubtitle": "", "bookOsisID": "PssSol", "paratext": "PSS", "groups": ["Rahlfs' LXX", "Apocrypha"], "aliases": [], "chapterLabel": "Chapter", "verseLabel": "Verse", "authors": ["Solomon"], "dateEarliest": "-0063-01-01", "dateLatest": "-0048-12-31", "hasData": false, "traditions": ["academic"] },</v>
      </c>
    </row>
    <row r="91" spans="1:15" x14ac:dyDescent="0.2">
      <c r="A91" t="s">
        <v>383</v>
      </c>
      <c r="C91" t="s">
        <v>248</v>
      </c>
      <c r="D91" t="s">
        <v>249</v>
      </c>
      <c r="E91" t="s">
        <v>470</v>
      </c>
      <c r="F91" t="s">
        <v>677</v>
      </c>
      <c r="G91" s="7" t="s">
        <v>752</v>
      </c>
      <c r="H91" t="s">
        <v>707</v>
      </c>
      <c r="I91" t="s">
        <v>815</v>
      </c>
      <c r="J91" s="14" t="s">
        <v>1084</v>
      </c>
      <c r="K91" s="14" t="s">
        <v>1074</v>
      </c>
      <c r="L91" t="s">
        <v>473</v>
      </c>
      <c r="M91" t="s">
        <v>477</v>
      </c>
      <c r="N91" t="str">
        <f t="shared" si="6"/>
        <v>false</v>
      </c>
      <c r="O91" s="3" t="str">
        <f t="shared" si="4"/>
        <v>{ "workOsisID": "Rahlf", "bookName": "Joshua A", "bookSubtitle": "", "bookOsisID": "JoshA", "paratext": "JSA", "groups": ["Rahlfs' variant books", "Apocrypha"], "aliases": [], "chapterLabel": "Chapter", "verseLabel": "Verse", "authors": ["Joshua"], "dateEarliest": "-0200-01-01", "dateLatest": "-0100-12-31", "hasData": false, "traditions": ["academic"] },</v>
      </c>
    </row>
    <row r="92" spans="1:15" x14ac:dyDescent="0.2">
      <c r="A92" t="s">
        <v>384</v>
      </c>
      <c r="C92" t="s">
        <v>250</v>
      </c>
      <c r="D92" t="s">
        <v>251</v>
      </c>
      <c r="E92" t="s">
        <v>470</v>
      </c>
      <c r="F92" t="s">
        <v>677</v>
      </c>
      <c r="G92" s="7" t="s">
        <v>752</v>
      </c>
      <c r="H92" t="s">
        <v>677</v>
      </c>
      <c r="I92" t="s">
        <v>815</v>
      </c>
      <c r="J92" s="14" t="s">
        <v>1084</v>
      </c>
      <c r="K92" s="14" t="s">
        <v>1074</v>
      </c>
      <c r="L92" t="s">
        <v>473</v>
      </c>
      <c r="M92" t="s">
        <v>477</v>
      </c>
      <c r="N92" t="str">
        <f t="shared" si="6"/>
        <v>false</v>
      </c>
      <c r="O92" s="3" t="str">
        <f t="shared" si="4"/>
        <v>{ "workOsisID": "Rahlf", "bookName": "Judges B", "bookSubtitle": "", "bookOsisID": "JudgB", "paratext": "JDB", "groups": ["Rahlfs' variant books", "Apocrypha"], "aliases": [], "chapterLabel": "Chapter", "verseLabel": "Verse", "authors": [], "dateEarliest": "-0200-01-01", "dateLatest": "-0100-12-31", "hasData": false, "traditions": ["academic"] },</v>
      </c>
    </row>
    <row r="93" spans="1:15" x14ac:dyDescent="0.2">
      <c r="A93" t="s">
        <v>385</v>
      </c>
      <c r="C93" t="s">
        <v>252</v>
      </c>
      <c r="D93" t="s">
        <v>253</v>
      </c>
      <c r="E93" t="s">
        <v>470</v>
      </c>
      <c r="F93" t="s">
        <v>677</v>
      </c>
      <c r="G93" s="7" t="s">
        <v>752</v>
      </c>
      <c r="H93" t="s">
        <v>682</v>
      </c>
      <c r="I93" t="s">
        <v>815</v>
      </c>
      <c r="J93" s="14" t="s">
        <v>1084</v>
      </c>
      <c r="K93" s="14" t="s">
        <v>1152</v>
      </c>
      <c r="L93" t="s">
        <v>473</v>
      </c>
      <c r="M93" t="s">
        <v>477</v>
      </c>
      <c r="N93" t="str">
        <f t="shared" si="6"/>
        <v>false</v>
      </c>
      <c r="O93" s="3" t="str">
        <f t="shared" si="4"/>
        <v>{ "workOsisID": "Rahlf", "bookName": "Tobit S", "bookSubtitle": "", "bookOsisID": "TobS", "paratext": "TBS", "groups": ["Rahlfs' variant books", "Apocrypha"], "aliases": [], "chapterLabel": "Chapter", "verseLabel": "Verse", "authors": ["Tobit"], "dateEarliest": "-0200-01-01", "dateLatest": "-0175-12-31", "hasData": false, "traditions": ["academic"] },</v>
      </c>
    </row>
    <row r="94" spans="1:15" x14ac:dyDescent="0.2">
      <c r="A94" t="s">
        <v>386</v>
      </c>
      <c r="C94" t="s">
        <v>254</v>
      </c>
      <c r="D94" t="s">
        <v>255</v>
      </c>
      <c r="E94" t="s">
        <v>470</v>
      </c>
      <c r="F94" t="s">
        <v>677</v>
      </c>
      <c r="G94" s="7" t="s">
        <v>752</v>
      </c>
      <c r="H94" t="s">
        <v>661</v>
      </c>
      <c r="I94" s="7" t="s">
        <v>811</v>
      </c>
      <c r="J94" s="14" t="s">
        <v>1154</v>
      </c>
      <c r="K94" s="14" t="s">
        <v>1162</v>
      </c>
      <c r="L94" t="s">
        <v>473</v>
      </c>
      <c r="M94" t="s">
        <v>477</v>
      </c>
      <c r="N94" t="str">
        <f t="shared" si="6"/>
        <v>false</v>
      </c>
      <c r="O94" s="3" t="str">
        <f t="shared" si="4"/>
        <v>{ "workOsisID": "Rahlf", "bookName": "Susanna θ", "bookSubtitle": "", "bookOsisID": "SusTh", "paratext": "SST", "groups": ["Rahlfs' variant books", "Apocrypha"], "aliases": [], "chapterLabel": "Chapter", "verseLabel": "Verse", "authors": ["Daniel"], "dateEarliest": "-0100-01-01", "dateLatest": "-0050-12-31", "hasData": false, "traditions": ["roman catholic","eastern orthodox","oriental orthodox","ethiopian orthodox"] },</v>
      </c>
    </row>
    <row r="95" spans="1:15" x14ac:dyDescent="0.2">
      <c r="A95" t="s">
        <v>387</v>
      </c>
      <c r="C95" t="s">
        <v>256</v>
      </c>
      <c r="D95" t="s">
        <v>257</v>
      </c>
      <c r="E95" t="s">
        <v>470</v>
      </c>
      <c r="F95" t="s">
        <v>677</v>
      </c>
      <c r="G95" s="7" t="s">
        <v>752</v>
      </c>
      <c r="H95" t="s">
        <v>661</v>
      </c>
      <c r="I95" t="s">
        <v>811</v>
      </c>
      <c r="J95" s="14" t="s">
        <v>1100</v>
      </c>
      <c r="K95" s="14" t="s">
        <v>1168</v>
      </c>
      <c r="L95" t="s">
        <v>473</v>
      </c>
      <c r="M95" t="s">
        <v>477</v>
      </c>
      <c r="N95" t="str">
        <f t="shared" si="6"/>
        <v>false</v>
      </c>
      <c r="O95" s="3" t="str">
        <f t="shared" si="4"/>
        <v>{ "workOsisID": "Rahlf", "bookName": "Daniel θ", "bookSubtitle": "", "bookOsisID": "DanTh", "paratext": "DNT", "groups": ["Rahlfs' variant books", "Apocrypha"], "aliases": [], "chapterLabel": "Chapter", "verseLabel": "Verse", "authors": ["Daniel"], "dateEarliest": "0070-01-01", "dateLatest": "0120-12-31", "hasData": false, "traditions": ["roman catholic","eastern orthodox","oriental orthodox","ethiopian orthodox"] },</v>
      </c>
    </row>
    <row r="96" spans="1:15" x14ac:dyDescent="0.2">
      <c r="A96" t="s">
        <v>388</v>
      </c>
      <c r="C96" t="s">
        <v>258</v>
      </c>
      <c r="D96" t="s">
        <v>259</v>
      </c>
      <c r="E96" t="s">
        <v>470</v>
      </c>
      <c r="F96" t="s">
        <v>677</v>
      </c>
      <c r="G96" s="7" t="s">
        <v>752</v>
      </c>
      <c r="H96" t="s">
        <v>661</v>
      </c>
      <c r="I96" t="s">
        <v>811</v>
      </c>
      <c r="J96" s="14" t="s">
        <v>1100</v>
      </c>
      <c r="K96" s="14" t="s">
        <v>1168</v>
      </c>
      <c r="L96" t="s">
        <v>473</v>
      </c>
      <c r="M96" t="s">
        <v>477</v>
      </c>
      <c r="N96" t="str">
        <f t="shared" si="6"/>
        <v>false</v>
      </c>
      <c r="O96" s="3" t="str">
        <f t="shared" si="4"/>
        <v>{ "workOsisID": "Rahlf", "bookName": "Bel and the Dragon θ", "bookSubtitle": "", "bookOsisID": "BelTh", "paratext": "BLT", "groups": ["Rahlfs' variant books", "Apocrypha"], "aliases": [], "chapterLabel": "Chapter", "verseLabel": "Verse", "authors": ["Daniel"], "dateEarliest": "0070-01-01", "dateLatest": "0120-12-31", "hasData": false, "traditions": ["roman catholic","eastern orthodox","oriental orthodox","ethiopian orthodox"] },</v>
      </c>
    </row>
    <row r="97" spans="1:15" x14ac:dyDescent="0.2">
      <c r="A97" s="3" t="s">
        <v>261</v>
      </c>
      <c r="B97" s="3" t="s">
        <v>261</v>
      </c>
      <c r="C97" s="3" t="s">
        <v>260</v>
      </c>
      <c r="D97" s="3" t="s">
        <v>262</v>
      </c>
      <c r="E97" s="3" t="s">
        <v>457</v>
      </c>
      <c r="F97" s="3" t="s">
        <v>1226</v>
      </c>
      <c r="G97" s="6" t="s">
        <v>482</v>
      </c>
      <c r="H97" t="s">
        <v>663</v>
      </c>
      <c r="I97" s="6" t="s">
        <v>815</v>
      </c>
      <c r="J97" s="14" t="s">
        <v>1104</v>
      </c>
      <c r="K97" s="14" t="s">
        <v>1130</v>
      </c>
      <c r="L97" s="3" t="s">
        <v>473</v>
      </c>
      <c r="M97" s="3" t="s">
        <v>477</v>
      </c>
      <c r="N97" s="3" t="str">
        <f t="shared" ref="N97" si="10">"true"</f>
        <v>true</v>
      </c>
      <c r="O97" s="3" t="str">
        <f t="shared" si="4"/>
        <v>{ "workOsisID": "KJVA", "bookName": "Epistle to the Laodiceans", "bookSubtitle": "Epistle to the Laodiceans", "bookOsisID": "EpLao", "paratext": "LAO", "groups": ["Vulgate", "Apocrypha"], "aliases": ["EpLao","LAO","Laodiceans","Paul's Epistle to the Laodiceans"], "chapterLabel": "Chapter", "verseLabel": "Verse", "authors": ["Paul"], "dateEarliest": "0080-01-01", "dateLatest": "0140-12-31", "hasData": true, "traditions": ["academic"] },</v>
      </c>
    </row>
    <row r="98" spans="1:15" x14ac:dyDescent="0.2">
      <c r="A98" t="s">
        <v>264</v>
      </c>
      <c r="C98" t="s">
        <v>263</v>
      </c>
      <c r="D98" t="s">
        <v>265</v>
      </c>
      <c r="E98" t="s">
        <v>457</v>
      </c>
      <c r="F98" s="10" t="s">
        <v>677</v>
      </c>
      <c r="G98" s="7" t="s">
        <v>1225</v>
      </c>
      <c r="H98" t="s">
        <v>703</v>
      </c>
      <c r="I98" s="7" t="s">
        <v>812</v>
      </c>
      <c r="J98" s="14" t="s">
        <v>1171</v>
      </c>
      <c r="K98" s="14" t="s">
        <v>1122</v>
      </c>
      <c r="L98" t="s">
        <v>473</v>
      </c>
      <c r="M98" t="s">
        <v>477</v>
      </c>
      <c r="N98" t="str">
        <f t="shared" si="6"/>
        <v>false</v>
      </c>
      <c r="O98" s="3" t="str">
        <f t="shared" si="4"/>
        <v>{ "workOsisID": "Vlugate", "bookName": "5 Ezra", "bookSubtitle": "", "bookOsisID": "5Ezra", "paratext": "5EZ", "groups": ["Vulgate", "Apocrypha"], "aliases": [], "chapterLabel": "Chapter", "verseLabel": "Verse", "authors": ["Ezra"], "dateEarliest": "0100-01-01", "dateLatest": "0150-12-31", "hasData": false, "traditions": ["eastern orthodox"] },</v>
      </c>
    </row>
    <row r="99" spans="1:15" x14ac:dyDescent="0.2">
      <c r="A99" t="s">
        <v>267</v>
      </c>
      <c r="C99" t="s">
        <v>266</v>
      </c>
      <c r="D99" t="s">
        <v>268</v>
      </c>
      <c r="E99" t="s">
        <v>457</v>
      </c>
      <c r="F99" t="s">
        <v>722</v>
      </c>
      <c r="G99" s="7" t="s">
        <v>1225</v>
      </c>
      <c r="H99" t="s">
        <v>703</v>
      </c>
      <c r="I99" s="7" t="s">
        <v>812</v>
      </c>
      <c r="J99" s="14" t="s">
        <v>1106</v>
      </c>
      <c r="K99" s="14" t="s">
        <v>1101</v>
      </c>
      <c r="L99" t="s">
        <v>473</v>
      </c>
      <c r="M99" t="s">
        <v>477</v>
      </c>
      <c r="N99" t="str">
        <f t="shared" si="6"/>
        <v>false</v>
      </c>
      <c r="O99" s="3" t="str">
        <f t="shared" si="4"/>
        <v>{ "workOsisID": "Vlugate", "bookName": "4 Ezra", "bookSubtitle": "", "bookOsisID": "4Ezra", "paratext": "EZA", "groups": ["Vulgate", "Apocrypha"], "aliases": ["Ezra Apocalypse"], "chapterLabel": "Chapter", "verseLabel": "Verse", "authors": ["Ezra"], "dateEarliest": "0090-01-01", "dateLatest": "0100-12-31", "hasData": false, "traditions": ["eastern orthodox"] },</v>
      </c>
    </row>
    <row r="100" spans="1:15" x14ac:dyDescent="0.2">
      <c r="A100" t="s">
        <v>270</v>
      </c>
      <c r="C100" t="s">
        <v>269</v>
      </c>
      <c r="D100" t="s">
        <v>271</v>
      </c>
      <c r="E100" t="s">
        <v>457</v>
      </c>
      <c r="F100" s="10" t="s">
        <v>677</v>
      </c>
      <c r="G100" s="7" t="s">
        <v>1225</v>
      </c>
      <c r="H100" t="s">
        <v>703</v>
      </c>
      <c r="I100" s="7" t="s">
        <v>812</v>
      </c>
      <c r="J100" s="14" t="s">
        <v>1171</v>
      </c>
      <c r="K100" s="14" t="s">
        <v>1122</v>
      </c>
      <c r="L100" t="s">
        <v>473</v>
      </c>
      <c r="M100" t="s">
        <v>477</v>
      </c>
      <c r="N100" t="str">
        <f t="shared" si="6"/>
        <v>false</v>
      </c>
      <c r="O100" s="3" t="str">
        <f t="shared" si="4"/>
        <v>{ "workOsisID": "Vlugate", "bookName": "6 Ezra", "bookSubtitle": "", "bookOsisID": "6Ezra", "paratext": "6EZ", "groups": ["Vulgate", "Apocrypha"], "aliases": [], "chapterLabel": "Chapter", "verseLabel": "Verse", "authors": ["Ezra"], "dateEarliest": "0100-01-01", "dateLatest": "0150-12-31", "hasData": false, "traditions": ["eastern orthodox"] },</v>
      </c>
    </row>
    <row r="101" spans="1:15" x14ac:dyDescent="0.2">
      <c r="A101" t="s">
        <v>389</v>
      </c>
      <c r="C101" t="s">
        <v>272</v>
      </c>
      <c r="D101" t="s">
        <v>273</v>
      </c>
      <c r="E101" t="s">
        <v>457</v>
      </c>
      <c r="F101" t="s">
        <v>677</v>
      </c>
      <c r="G101" s="7" t="s">
        <v>1225</v>
      </c>
      <c r="H101" t="s">
        <v>680</v>
      </c>
      <c r="I101" s="7" t="s">
        <v>815</v>
      </c>
      <c r="J101" s="14" t="s">
        <v>1084</v>
      </c>
      <c r="K101" s="14" t="s">
        <v>1074</v>
      </c>
      <c r="L101" t="s">
        <v>473</v>
      </c>
      <c r="M101" t="s">
        <v>477</v>
      </c>
      <c r="N101" t="str">
        <f t="shared" si="6"/>
        <v>false</v>
      </c>
      <c r="O101" s="3" t="str">
        <f t="shared" si="4"/>
        <v>{ "workOsisID": "Vlugate", "bookName": "Prayer of Solomon", "bookSubtitle": "", "bookOsisID": "PrSol", "paratext": "PSO", "groups": ["Vulgate", "Apocrypha"], "aliases": [], "chapterLabel": "Chapter", "verseLabel": "Verse", "authors": ["Solomon"], "dateEarliest": "-0200-01-01", "dateLatest": "-0100-12-31", "hasData": false, "traditions": ["academic"] },</v>
      </c>
    </row>
    <row r="102" spans="1:15" x14ac:dyDescent="0.2">
      <c r="A102" t="s">
        <v>390</v>
      </c>
      <c r="C102" t="s">
        <v>274</v>
      </c>
      <c r="D102" t="s">
        <v>275</v>
      </c>
      <c r="E102" t="s">
        <v>457</v>
      </c>
      <c r="F102" t="s">
        <v>677</v>
      </c>
      <c r="G102" s="7" t="s">
        <v>1225</v>
      </c>
      <c r="H102" t="s">
        <v>659</v>
      </c>
      <c r="I102" s="7" t="s">
        <v>815</v>
      </c>
      <c r="J102" s="14" t="s">
        <v>1084</v>
      </c>
      <c r="K102" s="14" t="s">
        <v>1074</v>
      </c>
      <c r="L102" t="s">
        <v>473</v>
      </c>
      <c r="M102" t="s">
        <v>477</v>
      </c>
      <c r="N102" t="str">
        <f t="shared" si="6"/>
        <v>false</v>
      </c>
      <c r="O102" s="3" t="str">
        <f t="shared" si="4"/>
        <v>{ "workOsisID": "Vlugate", "bookName": "Prayer of Jeremiah", "bookSubtitle": "", "bookOsisID": "PrJer", "paratext": "PJE", "groups": ["Vulgate", "Apocrypha"], "aliases": [], "chapterLabel": "Chapter", "verseLabel": "Verse", "authors": ["Jeremiah"], "dateEarliest": "-0200-01-01", "dateLatest": "-0100-12-31", "hasData": false, "traditions": ["academic"] },</v>
      </c>
    </row>
    <row r="103" spans="1:15" x14ac:dyDescent="0.2">
      <c r="A103" t="s">
        <v>277</v>
      </c>
      <c r="C103" t="s">
        <v>276</v>
      </c>
      <c r="D103" t="s">
        <v>278</v>
      </c>
      <c r="E103" t="s">
        <v>1224</v>
      </c>
      <c r="F103" t="s">
        <v>723</v>
      </c>
      <c r="G103" s="7" t="s">
        <v>1223</v>
      </c>
      <c r="H103" t="s">
        <v>704</v>
      </c>
      <c r="I103" s="7" t="s">
        <v>816</v>
      </c>
      <c r="J103" s="14" t="s">
        <v>1076</v>
      </c>
      <c r="K103" s="14" t="s">
        <v>1074</v>
      </c>
      <c r="L103" t="s">
        <v>473</v>
      </c>
      <c r="M103" t="s">
        <v>477</v>
      </c>
      <c r="N103" t="str">
        <f t="shared" si="6"/>
        <v>false</v>
      </c>
      <c r="O103" s="3" t="str">
        <f t="shared" si="4"/>
        <v>{ "workOsisID": "Enoch", "bookName": "1 Enoch", "bookSubtitle": "", "bookOsisID": "1En", "paratext": "ENO", "groups": ["Ethiopian Orthodox", "Apocrypha"], "aliases": ["Ethiopic Apocalypse of Enoch","Ethiopic Enoch"], "chapterLabel": "Chapter", "verseLabel": "Verse", "authors": ["Enoch"], "dateEarliest": "-0300-01-01", "dateLatest": "-0100-12-31", "hasData": false, "traditions": ["ethiopian orthodox"] },</v>
      </c>
    </row>
    <row r="104" spans="1:15" x14ac:dyDescent="0.2">
      <c r="A104" t="s">
        <v>280</v>
      </c>
      <c r="C104" t="s">
        <v>279</v>
      </c>
      <c r="D104" t="s">
        <v>281</v>
      </c>
      <c r="E104" t="s">
        <v>1224</v>
      </c>
      <c r="F104" t="s">
        <v>677</v>
      </c>
      <c r="H104" t="s">
        <v>657</v>
      </c>
      <c r="I104" s="7" t="s">
        <v>816</v>
      </c>
      <c r="J104" s="14" t="s">
        <v>1163</v>
      </c>
      <c r="K104" s="14" t="s">
        <v>1164</v>
      </c>
      <c r="L104" t="s">
        <v>473</v>
      </c>
      <c r="M104" t="s">
        <v>477</v>
      </c>
      <c r="N104" t="str">
        <f t="shared" si="6"/>
        <v>false</v>
      </c>
      <c r="O104" s="3" t="str">
        <f t="shared" si="4"/>
        <v>{ "workOsisID": "", "bookName": "Jubilees", "bookSubtitle": "", "bookOsisID": "Jub", "paratext": "JUB", "groups": ["Ethiopian Orthodox", "Apocrypha"], "aliases": [], "chapterLabel": "Chapter", "verseLabel": "Verse", "authors": ["Moses"], "dateEarliest": "-0160-01-01", "dateLatest": "-0140-12-31", "hasData": false, "traditions": ["ethiopian orthodox"] },</v>
      </c>
    </row>
    <row r="105" spans="1:15" x14ac:dyDescent="0.2">
      <c r="A105" t="s">
        <v>283</v>
      </c>
      <c r="C105" t="s">
        <v>282</v>
      </c>
      <c r="D105" t="s">
        <v>284</v>
      </c>
      <c r="E105" t="s">
        <v>1224</v>
      </c>
      <c r="F105" t="s">
        <v>724</v>
      </c>
      <c r="H105" t="s">
        <v>824</v>
      </c>
      <c r="I105" s="7" t="s">
        <v>816</v>
      </c>
      <c r="J105" s="14" t="s">
        <v>1172</v>
      </c>
      <c r="K105" s="14" t="s">
        <v>1101</v>
      </c>
      <c r="L105" t="s">
        <v>473</v>
      </c>
      <c r="M105" t="s">
        <v>477</v>
      </c>
      <c r="N105" t="str">
        <f t="shared" si="6"/>
        <v>false</v>
      </c>
      <c r="O105" s="3" t="str">
        <f t="shared" si="4"/>
        <v>{ "workOsisID": "", "bookName": "4 Baruch", "bookSubtitle": "", "bookOsisID": "4Bar", "paratext": "4BA", "groups": ["Ethiopian Orthodox", "Apocrypha"], "aliases": ["Paraleipomena Jeremiou"], "chapterLabel": "Chapter", "verseLabel": "Verse", "authors": ["Baruch","Jeremiah"], "dateEarliest": "0000-01-01", "dateLatest": "0100-12-31", "hasData": false, "traditions": ["ethiopian orthodox"] },</v>
      </c>
    </row>
    <row r="106" spans="1:15" x14ac:dyDescent="0.2">
      <c r="A106" t="s">
        <v>391</v>
      </c>
      <c r="C106" t="s">
        <v>285</v>
      </c>
      <c r="D106" t="s">
        <v>286</v>
      </c>
      <c r="E106" t="s">
        <v>1224</v>
      </c>
      <c r="F106" t="s">
        <v>677</v>
      </c>
      <c r="H106" t="s">
        <v>826</v>
      </c>
      <c r="I106" s="7" t="s">
        <v>816</v>
      </c>
      <c r="J106" s="14" t="s">
        <v>1154</v>
      </c>
      <c r="K106" s="14" t="s">
        <v>1128</v>
      </c>
      <c r="L106" t="s">
        <v>473</v>
      </c>
      <c r="M106" t="s">
        <v>477</v>
      </c>
      <c r="N106" t="str">
        <f t="shared" si="6"/>
        <v>false</v>
      </c>
      <c r="O106" s="3" t="str">
        <f t="shared" si="4"/>
        <v>{ "workOsisID": "", "bookName": "1 Meqabyan", "bookSubtitle": "", "bookOsisID": "1Meq", "paratext": "1MQ", "groups": ["Ethiopian Orthodox", "Apocrypha"], "aliases": [], "chapterLabel": "Chapter", "verseLabel": "Verse", "authors": ["Maccabees"], "dateEarliest": "-0100-01-01", "dateLatest": "0000-12-31", "hasData": false, "traditions": ["ethiopian orthodox"] },</v>
      </c>
    </row>
    <row r="107" spans="1:15" x14ac:dyDescent="0.2">
      <c r="A107" t="s">
        <v>392</v>
      </c>
      <c r="C107" t="s">
        <v>287</v>
      </c>
      <c r="D107" t="s">
        <v>288</v>
      </c>
      <c r="E107" t="s">
        <v>1224</v>
      </c>
      <c r="F107" t="s">
        <v>677</v>
      </c>
      <c r="H107" t="s">
        <v>826</v>
      </c>
      <c r="I107" s="7" t="s">
        <v>816</v>
      </c>
      <c r="J107" s="14" t="s">
        <v>1154</v>
      </c>
      <c r="K107" s="14" t="s">
        <v>1128</v>
      </c>
      <c r="L107" t="s">
        <v>473</v>
      </c>
      <c r="M107" t="s">
        <v>477</v>
      </c>
      <c r="N107" t="str">
        <f t="shared" si="6"/>
        <v>false</v>
      </c>
      <c r="O107" s="3" t="str">
        <f t="shared" si="4"/>
        <v>{ "workOsisID": "", "bookName": "2 Meqabyan", "bookSubtitle": "", "bookOsisID": "2Meq", "paratext": "2MQ", "groups": ["Ethiopian Orthodox", "Apocrypha"], "aliases": [], "chapterLabel": "Chapter", "verseLabel": "Verse", "authors": ["Maccabees"], "dateEarliest": "-0100-01-01", "dateLatest": "0000-12-31", "hasData": false, "traditions": ["ethiopian orthodox"] },</v>
      </c>
    </row>
    <row r="108" spans="1:15" x14ac:dyDescent="0.2">
      <c r="A108" t="s">
        <v>393</v>
      </c>
      <c r="C108" t="s">
        <v>289</v>
      </c>
      <c r="D108" t="s">
        <v>290</v>
      </c>
      <c r="E108" t="s">
        <v>1224</v>
      </c>
      <c r="F108" t="s">
        <v>677</v>
      </c>
      <c r="H108" t="s">
        <v>826</v>
      </c>
      <c r="I108" s="7" t="s">
        <v>816</v>
      </c>
      <c r="J108" s="14" t="s">
        <v>1172</v>
      </c>
      <c r="K108" s="14" t="s">
        <v>1101</v>
      </c>
      <c r="L108" t="s">
        <v>473</v>
      </c>
      <c r="M108" t="s">
        <v>477</v>
      </c>
      <c r="N108" t="str">
        <f t="shared" si="6"/>
        <v>false</v>
      </c>
      <c r="O108" s="3" t="str">
        <f t="shared" si="4"/>
        <v>{ "workOsisID": "", "bookName": "3 Meqabyan", "bookSubtitle": "", "bookOsisID": "3Meq", "paratext": "3MQ", "groups": ["Ethiopian Orthodox", "Apocrypha"], "aliases": [], "chapterLabel": "Chapter", "verseLabel": "Verse", "authors": ["Maccabees"], "dateEarliest": "0000-01-01", "dateLatest": "0100-12-31", "hasData": false, "traditions": ["ethiopian orthodox"] },</v>
      </c>
    </row>
    <row r="109" spans="1:15" x14ac:dyDescent="0.2">
      <c r="A109" t="s">
        <v>394</v>
      </c>
      <c r="C109" t="s">
        <v>291</v>
      </c>
      <c r="D109" t="s">
        <v>292</v>
      </c>
      <c r="E109" t="s">
        <v>1224</v>
      </c>
      <c r="F109" t="s">
        <v>725</v>
      </c>
      <c r="H109" t="s">
        <v>677</v>
      </c>
      <c r="I109" s="7" t="s">
        <v>816</v>
      </c>
      <c r="J109" s="14" t="s">
        <v>1172</v>
      </c>
      <c r="K109" s="14" t="s">
        <v>1101</v>
      </c>
      <c r="L109" t="s">
        <v>473</v>
      </c>
      <c r="M109" t="s">
        <v>477</v>
      </c>
      <c r="N109" t="str">
        <f t="shared" si="6"/>
        <v>false</v>
      </c>
      <c r="O109" s="3" t="str">
        <f t="shared" si="4"/>
        <v>{ "workOsisID": "", "bookName": "Reproof", "bookSubtitle": "", "bookOsisID": "Rep", "paratext": "REP", "groups": ["Ethiopian Orthodox", "Apocrypha"], "aliases": ["Tegsas","Tegsats","Taagsas"], "chapterLabel": "Chapter", "verseLabel": "Verse", "authors": [], "dateEarliest": "0000-01-01", "dateLatest": "0100-12-31", "hasData": false, "traditions": ["ethiopian orthodox"] },</v>
      </c>
    </row>
    <row r="110" spans="1:15" x14ac:dyDescent="0.2">
      <c r="A110" t="s">
        <v>294</v>
      </c>
      <c r="C110" t="s">
        <v>293</v>
      </c>
      <c r="E110" t="s">
        <v>1224</v>
      </c>
      <c r="F110" t="s">
        <v>726</v>
      </c>
      <c r="H110" t="s">
        <v>659</v>
      </c>
      <c r="I110" s="7" t="s">
        <v>816</v>
      </c>
      <c r="J110" s="14" t="s">
        <v>1084</v>
      </c>
      <c r="K110" s="14" t="s">
        <v>1074</v>
      </c>
      <c r="L110" t="s">
        <v>473</v>
      </c>
      <c r="M110" t="s">
        <v>477</v>
      </c>
      <c r="N110" t="str">
        <f t="shared" si="6"/>
        <v>false</v>
      </c>
      <c r="O110" s="3" t="str">
        <f t="shared" si="4"/>
        <v>{ "workOsisID": "", "bookName": "Additions to Jeremiah", "bookSubtitle": "", "bookOsisID": "AddJer", "paratext": null, "groups": ["Ethiopian Orthodox", "Apocrypha"], "aliases": ["Rest of Jeremiah"], "chapterLabel": "Chapter", "verseLabel": "Verse", "authors": ["Jeremiah"], "dateEarliest": "-0200-01-01", "dateLatest": "-0100-12-31", "hasData": false, "traditions": ["ethiopian orthodox"] },</v>
      </c>
    </row>
    <row r="111" spans="1:15" x14ac:dyDescent="0.2">
      <c r="A111" t="s">
        <v>395</v>
      </c>
      <c r="C111" t="s">
        <v>295</v>
      </c>
      <c r="E111" t="s">
        <v>1224</v>
      </c>
      <c r="F111" t="s">
        <v>727</v>
      </c>
      <c r="H111" t="s">
        <v>697</v>
      </c>
      <c r="I111" s="7" t="s">
        <v>815</v>
      </c>
      <c r="J111" s="14" t="s">
        <v>1106</v>
      </c>
      <c r="K111" s="14" t="s">
        <v>1122</v>
      </c>
      <c r="L111" t="s">
        <v>473</v>
      </c>
      <c r="M111" t="s">
        <v>477</v>
      </c>
      <c r="N111" t="str">
        <f t="shared" si="6"/>
        <v>false</v>
      </c>
      <c r="O111" s="3" t="str">
        <f t="shared" si="4"/>
        <v>{ "workOsisID": "", "bookName": "Pseudo-Josephus", "bookSubtitle": "", "bookOsisID": "PsJos", "paratext": null, "groups": ["Ethiopian Orthodox", "Apocrypha"], "aliases": ["Jossipon","Joseph ben Gorion's Medieval History of the Jews"], "chapterLabel": "Chapter", "verseLabel": "Verse", "authors": ["Josephus"], "dateEarliest": "0090-01-01", "dateLatest": "0150-12-31", "hasData": false, "traditions": ["academic"] },</v>
      </c>
    </row>
    <row r="112" spans="1:15" x14ac:dyDescent="0.2">
      <c r="A112" t="s">
        <v>396</v>
      </c>
      <c r="C112" t="s">
        <v>296</v>
      </c>
      <c r="D112" t="s">
        <v>297</v>
      </c>
      <c r="E112" t="s">
        <v>1224</v>
      </c>
      <c r="F112" t="s">
        <v>677</v>
      </c>
      <c r="H112" t="s">
        <v>827</v>
      </c>
      <c r="I112" s="7" t="s">
        <v>815</v>
      </c>
      <c r="J112" s="14" t="s">
        <v>1171</v>
      </c>
      <c r="K112" s="14" t="s">
        <v>1122</v>
      </c>
      <c r="L112" t="s">
        <v>473</v>
      </c>
      <c r="M112" t="s">
        <v>477</v>
      </c>
      <c r="N112" t="str">
        <f t="shared" si="6"/>
        <v>false</v>
      </c>
      <c r="O112" s="3" t="str">
        <f t="shared" si="4"/>
        <v>{ "workOsisID": "", "bookName": "Epistle of the Corinthians to Paul", "bookSubtitle": "", "bookOsisID": "EpCorPaul", "paratext": "COP", "groups": ["Ethiopian Orthodox", "Apocrypha"], "aliases": [], "chapterLabel": "Chapter", "verseLabel": "Verse", "authors": ["Corinthians"], "dateEarliest": "0100-01-01", "dateLatest": "0150-12-31", "hasData": false, "traditions": ["academic"] },</v>
      </c>
    </row>
    <row r="113" spans="1:15" x14ac:dyDescent="0.2">
      <c r="A113" t="s">
        <v>299</v>
      </c>
      <c r="C113" t="s">
        <v>298</v>
      </c>
      <c r="D113" t="s">
        <v>300</v>
      </c>
      <c r="E113" t="s">
        <v>1224</v>
      </c>
      <c r="F113" t="s">
        <v>677</v>
      </c>
      <c r="H113" t="s">
        <v>663</v>
      </c>
      <c r="I113" s="7" t="s">
        <v>817</v>
      </c>
      <c r="J113" s="14" t="s">
        <v>1171</v>
      </c>
      <c r="K113" s="14" t="s">
        <v>1122</v>
      </c>
      <c r="L113" t="s">
        <v>473</v>
      </c>
      <c r="M113" t="s">
        <v>477</v>
      </c>
      <c r="N113" t="str">
        <f t="shared" si="6"/>
        <v>false</v>
      </c>
      <c r="O113" s="3" t="str">
        <f t="shared" si="4"/>
        <v>{ "workOsisID": "", "bookName": "3 Corinthians", "bookSubtitle": "", "bookOsisID": "3Cor", "paratext": "3CO", "groups": ["Ethiopian Orthodox", "Apocrypha"], "aliases": [], "chapterLabel": "Chapter", "verseLabel": "Verse", "authors": ["Paul"], "dateEarliest": "0100-01-01", "dateLatest": "0150-12-31", "hasData": false, "traditions": ["oriental orthodox"] },</v>
      </c>
    </row>
    <row r="114" spans="1:15" x14ac:dyDescent="0.2">
      <c r="A114" t="s">
        <v>397</v>
      </c>
      <c r="C114" t="s">
        <v>301</v>
      </c>
      <c r="D114" t="s">
        <v>302</v>
      </c>
      <c r="E114" t="s">
        <v>1224</v>
      </c>
      <c r="F114" t="s">
        <v>677</v>
      </c>
      <c r="H114" t="s">
        <v>823</v>
      </c>
      <c r="I114" s="7" t="s">
        <v>815</v>
      </c>
      <c r="J114" s="14" t="s">
        <v>1158</v>
      </c>
      <c r="K114" s="14" t="s">
        <v>1159</v>
      </c>
      <c r="L114" t="s">
        <v>473</v>
      </c>
      <c r="M114" t="s">
        <v>477</v>
      </c>
      <c r="N114" t="str">
        <f t="shared" si="6"/>
        <v>false</v>
      </c>
      <c r="O114" s="3" t="str">
        <f t="shared" si="4"/>
        <v>{ "workOsisID": "", "bookName": "Words of Sirach", "bookSubtitle": "", "bookOsisID": "WSir", "paratext": "WSI", "groups": ["Ethiopian Orthodox", "Apocrypha"], "aliases": [], "chapterLabel": "Chapter", "verseLabel": "Verse", "authors": ["Jesus son of Sirach"], "dateEarliest": "-0175-01-01", "dateLatest": "-0132-12-31", "hasData": false, "traditions": ["academic"] },</v>
      </c>
    </row>
    <row r="115" spans="1:15" x14ac:dyDescent="0.2">
      <c r="A115" t="s">
        <v>398</v>
      </c>
      <c r="C115" t="s">
        <v>303</v>
      </c>
      <c r="D115" t="s">
        <v>304</v>
      </c>
      <c r="E115" t="s">
        <v>1224</v>
      </c>
      <c r="F115" t="s">
        <v>677</v>
      </c>
      <c r="H115" t="s">
        <v>705</v>
      </c>
      <c r="I115" s="7" t="s">
        <v>815</v>
      </c>
      <c r="J115" s="14" t="s">
        <v>1173</v>
      </c>
      <c r="K115" s="14" t="s">
        <v>1137</v>
      </c>
      <c r="L115" t="s">
        <v>473</v>
      </c>
      <c r="M115" t="s">
        <v>477</v>
      </c>
      <c r="N115" t="str">
        <f t="shared" si="6"/>
        <v>false</v>
      </c>
      <c r="O115" s="3" t="str">
        <f t="shared" si="4"/>
        <v>{ "workOsisID": "", "bookName": "Prayer of Euthalius", "bookSubtitle": "", "bookOsisID": "PrEuth", "paratext": "EUT", "groups": ["Ethiopian Orthodox", "Apocrypha"], "aliases": [], "chapterLabel": "Chapter", "verseLabel": "Verse", "authors": ["Euthalius"], "dateEarliest": "0300-01-01", "dateLatest": "0400-12-31", "hasData": false, "traditions": ["academic"] },</v>
      </c>
    </row>
    <row r="116" spans="1:15" x14ac:dyDescent="0.2">
      <c r="A116" t="s">
        <v>399</v>
      </c>
      <c r="C116" t="s">
        <v>305</v>
      </c>
      <c r="D116" t="s">
        <v>306</v>
      </c>
      <c r="E116" t="s">
        <v>1224</v>
      </c>
      <c r="F116" t="s">
        <v>677</v>
      </c>
      <c r="H116" t="s">
        <v>706</v>
      </c>
      <c r="I116" s="7" t="s">
        <v>815</v>
      </c>
      <c r="J116" s="14" t="s">
        <v>1171</v>
      </c>
      <c r="K116" s="14" t="s">
        <v>1138</v>
      </c>
      <c r="L116" t="s">
        <v>473</v>
      </c>
      <c r="M116" t="s">
        <v>477</v>
      </c>
      <c r="N116" t="str">
        <f t="shared" si="6"/>
        <v>false</v>
      </c>
      <c r="O116" s="3" t="str">
        <f t="shared" si="4"/>
        <v>{ "workOsisID": "", "bookName": "Dormition of John", "bookSubtitle": "", "bookOsisID": "DormJohn", "paratext": "DOJ", "groups": ["Ethiopian Orthodox", "Apocrypha"], "aliases": [], "chapterLabel": "Chapter", "verseLabel": "Verse", "authors": ["John"], "dateEarliest": "0100-01-01", "dateLatest": "0200-12-31", "hasData": false, "traditions": ["academic"] },</v>
      </c>
    </row>
    <row r="117" spans="1:15" x14ac:dyDescent="0.2">
      <c r="A117" t="s">
        <v>308</v>
      </c>
      <c r="C117" t="s">
        <v>307</v>
      </c>
      <c r="E117" t="s">
        <v>1224</v>
      </c>
      <c r="F117" t="s">
        <v>677</v>
      </c>
      <c r="H117" t="s">
        <v>828</v>
      </c>
      <c r="I117" s="7" t="s">
        <v>815</v>
      </c>
      <c r="J117" s="14" t="s">
        <v>1154</v>
      </c>
      <c r="K117" s="14" t="s">
        <v>1101</v>
      </c>
      <c r="L117" t="s">
        <v>473</v>
      </c>
      <c r="M117" t="s">
        <v>477</v>
      </c>
      <c r="N117" t="str">
        <f t="shared" si="6"/>
        <v>false</v>
      </c>
      <c r="O117" s="3" t="str">
        <f t="shared" si="4"/>
        <v>{ "workOsisID": "", "bookName": "Joseph and Asenath", "bookSubtitle": "", "bookOsisID": "JosAsen", "paratext": null, "groups": ["Ethiopian Orthodox", "Apocrypha"], "aliases": [], "chapterLabel": "Chapter", "verseLabel": "Verse", "authors": ["Joseph","Asenath"], "dateEarliest": "-0100-01-01", "dateLatest": "0100-12-31", "hasData": false, "traditions": ["academic"] },</v>
      </c>
    </row>
    <row r="118" spans="1:15" x14ac:dyDescent="0.2">
      <c r="A118" t="s">
        <v>310</v>
      </c>
      <c r="C118" t="s">
        <v>309</v>
      </c>
      <c r="E118" t="s">
        <v>1224</v>
      </c>
      <c r="F118" t="s">
        <v>677</v>
      </c>
      <c r="G118" t="s">
        <v>309</v>
      </c>
      <c r="H118" t="s">
        <v>829</v>
      </c>
      <c r="I118" s="7" t="s">
        <v>815</v>
      </c>
      <c r="J118" s="14" t="s">
        <v>1084</v>
      </c>
      <c r="K118" s="14" t="s">
        <v>1074</v>
      </c>
      <c r="L118" t="s">
        <v>473</v>
      </c>
      <c r="M118" t="s">
        <v>477</v>
      </c>
      <c r="N118" t="str">
        <f t="shared" si="6"/>
        <v>false</v>
      </c>
      <c r="O118" s="3" t="str">
        <f t="shared" si="4"/>
        <v>{ "workOsisID": "T12Patr", "bookName": "Testaments of the Twelve Patriarchs (composed of:)", "bookSubtitle": "", "bookOsisID": "T12Patr", "paratext": null, "groups": ["Ethiopian Orthodox", "Apocrypha"], "aliases": [], "chapterLabel": "Chapter", "verseLabel": "Verse", "authors": ["The Twelve Patriarchs"], "dateEarliest": "-0200-01-01", "dateLatest": "-0100-12-31", "hasData": false, "traditions": ["academic"] },</v>
      </c>
    </row>
    <row r="119" spans="1:15" x14ac:dyDescent="0.2">
      <c r="A119" t="s">
        <v>311</v>
      </c>
      <c r="C119" t="s">
        <v>532</v>
      </c>
      <c r="E119" t="s">
        <v>1224</v>
      </c>
      <c r="F119" t="s">
        <v>677</v>
      </c>
      <c r="G119" t="s">
        <v>309</v>
      </c>
      <c r="H119" t="s">
        <v>684</v>
      </c>
      <c r="I119" s="7" t="s">
        <v>815</v>
      </c>
      <c r="J119" s="14" t="s">
        <v>1084</v>
      </c>
      <c r="K119" s="14" t="s">
        <v>1074</v>
      </c>
      <c r="L119" t="s">
        <v>473</v>
      </c>
      <c r="M119" t="s">
        <v>477</v>
      </c>
      <c r="N119" t="str">
        <f t="shared" si="6"/>
        <v>false</v>
      </c>
      <c r="O119" s="3" t="str">
        <f t="shared" si="4"/>
        <v>{ "workOsisID": "T12Patr", "bookName": "Testament of Asher", "bookSubtitle": "", "bookOsisID": "TAsh", "paratext": null, "groups": ["Ethiopian Orthodox", "Apocrypha"], "aliases": [], "chapterLabel": "Chapter", "verseLabel": "Verse", "authors": ["Asher"], "dateEarliest": "-0200-01-01", "dateLatest": "-0100-12-31", "hasData": false, "traditions": ["academic"] },</v>
      </c>
    </row>
    <row r="120" spans="1:15" x14ac:dyDescent="0.2">
      <c r="A120" t="s">
        <v>312</v>
      </c>
      <c r="C120" t="s">
        <v>533</v>
      </c>
      <c r="E120" t="s">
        <v>1224</v>
      </c>
      <c r="F120" t="s">
        <v>677</v>
      </c>
      <c r="G120" t="s">
        <v>309</v>
      </c>
      <c r="H120" t="s">
        <v>685</v>
      </c>
      <c r="I120" s="7" t="s">
        <v>815</v>
      </c>
      <c r="J120" s="14" t="s">
        <v>1084</v>
      </c>
      <c r="K120" s="14" t="s">
        <v>1074</v>
      </c>
      <c r="L120" t="s">
        <v>473</v>
      </c>
      <c r="M120" t="s">
        <v>477</v>
      </c>
      <c r="N120" t="str">
        <f t="shared" si="6"/>
        <v>false</v>
      </c>
      <c r="O120" s="3" t="str">
        <f t="shared" si="4"/>
        <v>{ "workOsisID": "T12Patr", "bookName": "Testament of Benjamin", "bookSubtitle": "", "bookOsisID": "TBenj", "paratext": null, "groups": ["Ethiopian Orthodox", "Apocrypha"], "aliases": [], "chapterLabel": "Chapter", "verseLabel": "Verse", "authors": ["Benjamin"], "dateEarliest": "-0200-01-01", "dateLatest": "-0100-12-31", "hasData": false, "traditions": ["academic"] },</v>
      </c>
    </row>
    <row r="121" spans="1:15" x14ac:dyDescent="0.2">
      <c r="A121" t="s">
        <v>313</v>
      </c>
      <c r="C121" t="s">
        <v>534</v>
      </c>
      <c r="E121" t="s">
        <v>1224</v>
      </c>
      <c r="F121" t="s">
        <v>677</v>
      </c>
      <c r="G121" t="s">
        <v>309</v>
      </c>
      <c r="H121" t="s">
        <v>686</v>
      </c>
      <c r="I121" s="7" t="s">
        <v>815</v>
      </c>
      <c r="J121" s="14" t="s">
        <v>1084</v>
      </c>
      <c r="K121" s="14" t="s">
        <v>1074</v>
      </c>
      <c r="L121" t="s">
        <v>473</v>
      </c>
      <c r="M121" t="s">
        <v>477</v>
      </c>
      <c r="N121" t="str">
        <f t="shared" si="6"/>
        <v>false</v>
      </c>
      <c r="O121" s="3" t="str">
        <f t="shared" si="4"/>
        <v>{ "workOsisID": "T12Patr", "bookName": "Testament of Dan", "bookSubtitle": "", "bookOsisID": "TDan", "paratext": null, "groups": ["Ethiopian Orthodox", "Apocrypha"], "aliases": [], "chapterLabel": "Chapter", "verseLabel": "Verse", "authors": ["Dan"], "dateEarliest": "-0200-01-01", "dateLatest": "-0100-12-31", "hasData": false, "traditions": ["academic"] },</v>
      </c>
    </row>
    <row r="122" spans="1:15" x14ac:dyDescent="0.2">
      <c r="A122" t="s">
        <v>314</v>
      </c>
      <c r="C122" t="s">
        <v>535</v>
      </c>
      <c r="E122" t="s">
        <v>1224</v>
      </c>
      <c r="F122" t="s">
        <v>677</v>
      </c>
      <c r="G122" t="s">
        <v>309</v>
      </c>
      <c r="H122" t="s">
        <v>687</v>
      </c>
      <c r="I122" s="7" t="s">
        <v>815</v>
      </c>
      <c r="J122" s="14" t="s">
        <v>1084</v>
      </c>
      <c r="K122" s="14" t="s">
        <v>1074</v>
      </c>
      <c r="L122" t="s">
        <v>473</v>
      </c>
      <c r="M122" t="s">
        <v>477</v>
      </c>
      <c r="N122" t="str">
        <f t="shared" si="6"/>
        <v>false</v>
      </c>
      <c r="O122" s="3" t="str">
        <f t="shared" si="4"/>
        <v>{ "workOsisID": "T12Patr", "bookName": "Testament of Gad", "bookSubtitle": "", "bookOsisID": "TGad", "paratext": null, "groups": ["Ethiopian Orthodox", "Apocrypha"], "aliases": [], "chapterLabel": "Chapter", "verseLabel": "Verse", "authors": ["Gad"], "dateEarliest": "-0200-01-01", "dateLatest": "-0100-12-31", "hasData": false, "traditions": ["academic"] },</v>
      </c>
    </row>
    <row r="123" spans="1:15" x14ac:dyDescent="0.2">
      <c r="A123" t="s">
        <v>315</v>
      </c>
      <c r="C123" t="s">
        <v>536</v>
      </c>
      <c r="E123" t="s">
        <v>1224</v>
      </c>
      <c r="F123" t="s">
        <v>677</v>
      </c>
      <c r="G123" t="s">
        <v>309</v>
      </c>
      <c r="H123" t="s">
        <v>688</v>
      </c>
      <c r="I123" s="7" t="s">
        <v>815</v>
      </c>
      <c r="J123" s="14" t="s">
        <v>1084</v>
      </c>
      <c r="K123" s="14" t="s">
        <v>1074</v>
      </c>
      <c r="L123" t="s">
        <v>473</v>
      </c>
      <c r="M123" t="s">
        <v>477</v>
      </c>
      <c r="N123" t="str">
        <f t="shared" si="6"/>
        <v>false</v>
      </c>
      <c r="O123" s="3" t="str">
        <f t="shared" si="4"/>
        <v>{ "workOsisID": "T12Patr", "bookName": "Testament of Issachar", "bookSubtitle": "", "bookOsisID": "TIss", "paratext": null, "groups": ["Ethiopian Orthodox", "Apocrypha"], "aliases": [], "chapterLabel": "Chapter", "verseLabel": "Verse", "authors": ["Issachar"], "dateEarliest": "-0200-01-01", "dateLatest": "-0100-12-31", "hasData": false, "traditions": ["academic"] },</v>
      </c>
    </row>
    <row r="124" spans="1:15" x14ac:dyDescent="0.2">
      <c r="A124" t="s">
        <v>316</v>
      </c>
      <c r="C124" t="s">
        <v>537</v>
      </c>
      <c r="E124" t="s">
        <v>1224</v>
      </c>
      <c r="F124" t="s">
        <v>677</v>
      </c>
      <c r="G124" t="s">
        <v>309</v>
      </c>
      <c r="H124" t="s">
        <v>689</v>
      </c>
      <c r="I124" s="7" t="s">
        <v>815</v>
      </c>
      <c r="J124" s="14" t="s">
        <v>1084</v>
      </c>
      <c r="K124" s="14" t="s">
        <v>1074</v>
      </c>
      <c r="L124" t="s">
        <v>473</v>
      </c>
      <c r="M124" t="s">
        <v>477</v>
      </c>
      <c r="N124" t="str">
        <f t="shared" si="6"/>
        <v>false</v>
      </c>
      <c r="O124" s="3" t="str">
        <f t="shared" si="4"/>
        <v>{ "workOsisID": "T12Patr", "bookName": "Testament of Joseph", "bookSubtitle": "", "bookOsisID": "TJos", "paratext": null, "groups": ["Ethiopian Orthodox", "Apocrypha"], "aliases": [], "chapterLabel": "Chapter", "verseLabel": "Verse", "authors": ["Joseph"], "dateEarliest": "-0200-01-01", "dateLatest": "-0100-12-31", "hasData": false, "traditions": ["academic"] },</v>
      </c>
    </row>
    <row r="125" spans="1:15" x14ac:dyDescent="0.2">
      <c r="A125" t="s">
        <v>317</v>
      </c>
      <c r="C125" t="s">
        <v>538</v>
      </c>
      <c r="E125" t="s">
        <v>1224</v>
      </c>
      <c r="F125" t="s">
        <v>677</v>
      </c>
      <c r="G125" t="s">
        <v>309</v>
      </c>
      <c r="H125" t="s">
        <v>690</v>
      </c>
      <c r="I125" s="7" t="s">
        <v>815</v>
      </c>
      <c r="J125" s="14" t="s">
        <v>1084</v>
      </c>
      <c r="K125" s="14" t="s">
        <v>1074</v>
      </c>
      <c r="L125" t="s">
        <v>473</v>
      </c>
      <c r="M125" t="s">
        <v>477</v>
      </c>
      <c r="N125" t="str">
        <f t="shared" si="6"/>
        <v>false</v>
      </c>
      <c r="O125" s="3" t="str">
        <f t="shared" si="4"/>
        <v>{ "workOsisID": "T12Patr", "bookName": "Testament of Judah", "bookSubtitle": "", "bookOsisID": "TJud", "paratext": null, "groups": ["Ethiopian Orthodox", "Apocrypha"], "aliases": [], "chapterLabel": "Chapter", "verseLabel": "Verse", "authors": ["Judah"], "dateEarliest": "-0200-01-01", "dateLatest": "-0100-12-31", "hasData": false, "traditions": ["academic"] },</v>
      </c>
    </row>
    <row r="126" spans="1:15" x14ac:dyDescent="0.2">
      <c r="A126" t="s">
        <v>318</v>
      </c>
      <c r="C126" t="s">
        <v>539</v>
      </c>
      <c r="E126" t="s">
        <v>1224</v>
      </c>
      <c r="F126" t="s">
        <v>677</v>
      </c>
      <c r="G126" t="s">
        <v>309</v>
      </c>
      <c r="H126" t="s">
        <v>691</v>
      </c>
      <c r="I126" s="7" t="s">
        <v>815</v>
      </c>
      <c r="J126" s="14" t="s">
        <v>1084</v>
      </c>
      <c r="K126" s="14" t="s">
        <v>1074</v>
      </c>
      <c r="L126" t="s">
        <v>473</v>
      </c>
      <c r="M126" t="s">
        <v>477</v>
      </c>
      <c r="N126" t="str">
        <f t="shared" si="6"/>
        <v>false</v>
      </c>
      <c r="O126" s="3" t="str">
        <f t="shared" si="4"/>
        <v>{ "workOsisID": "T12Patr", "bookName": "Testament of Levi", "bookSubtitle": "", "bookOsisID": "TLevi", "paratext": null, "groups": ["Ethiopian Orthodox", "Apocrypha"], "aliases": [], "chapterLabel": "Chapter", "verseLabel": "Verse", "authors": ["Levi"], "dateEarliest": "-0200-01-01", "dateLatest": "-0100-12-31", "hasData": false, "traditions": ["academic"] },</v>
      </c>
    </row>
    <row r="127" spans="1:15" x14ac:dyDescent="0.2">
      <c r="A127" t="s">
        <v>319</v>
      </c>
      <c r="C127" t="s">
        <v>540</v>
      </c>
      <c r="E127" t="s">
        <v>1224</v>
      </c>
      <c r="F127" t="s">
        <v>677</v>
      </c>
      <c r="G127" t="s">
        <v>309</v>
      </c>
      <c r="H127" t="s">
        <v>692</v>
      </c>
      <c r="I127" s="7" t="s">
        <v>815</v>
      </c>
      <c r="J127" s="14" t="s">
        <v>1084</v>
      </c>
      <c r="K127" s="14" t="s">
        <v>1074</v>
      </c>
      <c r="L127" t="s">
        <v>473</v>
      </c>
      <c r="M127" t="s">
        <v>477</v>
      </c>
      <c r="N127" t="str">
        <f t="shared" si="6"/>
        <v>false</v>
      </c>
      <c r="O127" s="3" t="str">
        <f t="shared" si="4"/>
        <v>{ "workOsisID": "T12Patr", "bookName": "Testament of Naphtali", "bookSubtitle": "", "bookOsisID": "TNaph", "paratext": null, "groups": ["Ethiopian Orthodox", "Apocrypha"], "aliases": [], "chapterLabel": "Chapter", "verseLabel": "Verse", "authors": ["Naphtali"], "dateEarliest": "-0200-01-01", "dateLatest": "-0100-12-31", "hasData": false, "traditions": ["academic"] },</v>
      </c>
    </row>
    <row r="128" spans="1:15" x14ac:dyDescent="0.2">
      <c r="A128" t="s">
        <v>320</v>
      </c>
      <c r="C128" t="s">
        <v>541</v>
      </c>
      <c r="E128" t="s">
        <v>1224</v>
      </c>
      <c r="F128" t="s">
        <v>677</v>
      </c>
      <c r="G128" t="s">
        <v>309</v>
      </c>
      <c r="H128" t="s">
        <v>693</v>
      </c>
      <c r="I128" s="7" t="s">
        <v>815</v>
      </c>
      <c r="J128" s="14" t="s">
        <v>1084</v>
      </c>
      <c r="K128" s="14" t="s">
        <v>1074</v>
      </c>
      <c r="L128" t="s">
        <v>473</v>
      </c>
      <c r="M128" t="s">
        <v>477</v>
      </c>
      <c r="N128" t="str">
        <f t="shared" si="6"/>
        <v>false</v>
      </c>
      <c r="O128" s="3" t="str">
        <f t="shared" si="4"/>
        <v>{ "workOsisID": "T12Patr", "bookName": "Testament of Reuben", "bookSubtitle": "", "bookOsisID": "TReu", "paratext": null, "groups": ["Ethiopian Orthodox", "Apocrypha"], "aliases": [], "chapterLabel": "Chapter", "verseLabel": "Verse", "authors": ["Reuben"], "dateEarliest": "-0200-01-01", "dateLatest": "-0100-12-31", "hasData": false, "traditions": ["academic"] },</v>
      </c>
    </row>
    <row r="129" spans="1:15" x14ac:dyDescent="0.2">
      <c r="A129" t="s">
        <v>321</v>
      </c>
      <c r="C129" t="s">
        <v>542</v>
      </c>
      <c r="E129" t="s">
        <v>1224</v>
      </c>
      <c r="F129" t="s">
        <v>677</v>
      </c>
      <c r="G129" t="s">
        <v>309</v>
      </c>
      <c r="H129" t="s">
        <v>694</v>
      </c>
      <c r="I129" s="7" t="s">
        <v>815</v>
      </c>
      <c r="J129" s="14" t="s">
        <v>1084</v>
      </c>
      <c r="K129" s="14" t="s">
        <v>1074</v>
      </c>
      <c r="L129" t="s">
        <v>473</v>
      </c>
      <c r="M129" t="s">
        <v>477</v>
      </c>
      <c r="N129" t="str">
        <f t="shared" si="6"/>
        <v>false</v>
      </c>
      <c r="O129" s="3" t="str">
        <f t="shared" si="4"/>
        <v>{ "workOsisID": "T12Patr", "bookName": "Testament of Simeon", "bookSubtitle": "", "bookOsisID": "TSim", "paratext": null, "groups": ["Ethiopian Orthodox", "Apocrypha"], "aliases": [], "chapterLabel": "Chapter", "verseLabel": "Verse", "authors": ["Simeon"], "dateEarliest": "-0200-01-01", "dateLatest": "-0100-12-31", "hasData": false, "traditions": ["academic"] },</v>
      </c>
    </row>
    <row r="130" spans="1:15" x14ac:dyDescent="0.2">
      <c r="A130" t="s">
        <v>322</v>
      </c>
      <c r="C130" t="s">
        <v>543</v>
      </c>
      <c r="E130" t="s">
        <v>1224</v>
      </c>
      <c r="F130" t="s">
        <v>677</v>
      </c>
      <c r="G130" t="s">
        <v>309</v>
      </c>
      <c r="H130" t="s">
        <v>695</v>
      </c>
      <c r="I130" s="7" t="s">
        <v>815</v>
      </c>
      <c r="J130" s="14" t="s">
        <v>1084</v>
      </c>
      <c r="K130" s="14" t="s">
        <v>1074</v>
      </c>
      <c r="L130" t="s">
        <v>473</v>
      </c>
      <c r="M130" t="s">
        <v>477</v>
      </c>
      <c r="N130" t="str">
        <f t="shared" si="6"/>
        <v>false</v>
      </c>
      <c r="O130" s="3" t="str">
        <f t="shared" ref="O130:O179" si="11">"{ ""workOsisID"": """&amp;G130&amp;""", ""bookName"": """&amp;A130&amp;""", ""bookSubtitle"": """&amp;B130&amp;""", ""bookOsisID"": """&amp;C130&amp;""", ""paratext"": "&amp;IF(D130="","null",""""&amp;D130&amp;"""")&amp;", ""groups"": "&amp;E130&amp;", ""aliases"": "&amp;F130&amp;", ""chapterLabel"": """&amp;L130&amp;""", ""verseLabel"": """&amp;M130&amp;""", ""authors"": "&amp;H130&amp;", ""dateEarliest"": """&amp;J130&amp;""", ""dateLatest"": """&amp;K130&amp;""", ""hasData"": "&amp;N130&amp;", ""traditions"": "&amp;I130&amp;" },"</f>
        <v>{ "workOsisID": "T12Patr", "bookName": "Testament of Zebulun", "bookSubtitle": "", "bookOsisID": "TZeb", "paratext": null, "groups": ["Ethiopian Orthodox", "Apocrypha"], "aliases": [], "chapterLabel": "Chapter", "verseLabel": "Verse", "authors": ["Zebulun"], "dateEarliest": "-0200-01-01", "dateLatest": "-0100-12-31", "hasData": false, "traditions": ["academic"] },</v>
      </c>
    </row>
    <row r="131" spans="1:15" x14ac:dyDescent="0.2">
      <c r="A131" t="s">
        <v>324</v>
      </c>
      <c r="C131" t="s">
        <v>323</v>
      </c>
      <c r="D131" t="s">
        <v>325</v>
      </c>
      <c r="E131" t="s">
        <v>458</v>
      </c>
      <c r="F131" t="s">
        <v>443</v>
      </c>
      <c r="G131"/>
      <c r="H131" t="s">
        <v>696</v>
      </c>
      <c r="I131" s="7" t="s">
        <v>815</v>
      </c>
      <c r="J131" s="14" t="s">
        <v>1104</v>
      </c>
      <c r="K131" s="14" t="s">
        <v>1101</v>
      </c>
      <c r="L131" t="s">
        <v>473</v>
      </c>
      <c r="M131" t="s">
        <v>477</v>
      </c>
      <c r="N131" t="str">
        <f t="shared" si="6"/>
        <v>false</v>
      </c>
      <c r="O131" s="3" t="str">
        <f t="shared" si="11"/>
        <v>{ "workOsisID": "", "bookName": "2 Baruch", "bookSubtitle": "", "bookOsisID": "2Bar", "paratext": "2BA", "groups": ["Syriac Orthodox Canon", "Apocrypha"], "aliases": ["(Syriac) Apocalypse of Baruch"], "chapterLabel": "Chapter", "verseLabel": "Verse", "authors": ["Baruch"], "dateEarliest": "0080-01-01", "dateLatest": "0100-12-31", "hasData": false, "traditions": ["academic"] },</v>
      </c>
    </row>
    <row r="132" spans="1:15" x14ac:dyDescent="0.2">
      <c r="A132" t="s">
        <v>400</v>
      </c>
      <c r="C132" t="s">
        <v>326</v>
      </c>
      <c r="D132" t="s">
        <v>327</v>
      </c>
      <c r="E132" t="s">
        <v>458</v>
      </c>
      <c r="F132" t="s">
        <v>677</v>
      </c>
      <c r="H132" t="s">
        <v>696</v>
      </c>
      <c r="I132" s="7" t="s">
        <v>815</v>
      </c>
      <c r="J132" s="14" t="s">
        <v>1100</v>
      </c>
      <c r="K132" s="14" t="s">
        <v>1101</v>
      </c>
      <c r="L132" t="s">
        <v>473</v>
      </c>
      <c r="M132" t="s">
        <v>477</v>
      </c>
      <c r="N132" t="str">
        <f t="shared" si="6"/>
        <v>false</v>
      </c>
      <c r="O132" s="3" t="str">
        <f t="shared" si="11"/>
        <v>{ "workOsisID": "", "bookName": "Letter of Baruch", "bookSubtitle": "", "bookOsisID": "EpBar", "paratext": "LBA", "groups": ["Syriac Orthodox Canon", "Apocrypha"], "aliases": [], "chapterLabel": "Chapter", "verseLabel": "Verse", "authors": ["Baruch"], "dateEarliest": "0070-01-01", "dateLatest": "0100-12-31", "hasData": false, "traditions": ["academic"] },</v>
      </c>
    </row>
    <row r="133" spans="1:15" x14ac:dyDescent="0.2">
      <c r="A133" t="s">
        <v>329</v>
      </c>
      <c r="C133" t="s">
        <v>328</v>
      </c>
      <c r="D133" t="s">
        <v>330</v>
      </c>
      <c r="E133" t="s">
        <v>458</v>
      </c>
      <c r="F133" t="s">
        <v>442</v>
      </c>
      <c r="H133" t="s">
        <v>825</v>
      </c>
      <c r="I133" s="7" t="s">
        <v>818</v>
      </c>
      <c r="J133" s="14" t="s">
        <v>1172</v>
      </c>
      <c r="K133" s="14" t="s">
        <v>1101</v>
      </c>
      <c r="L133" t="s">
        <v>473</v>
      </c>
      <c r="M133" t="s">
        <v>477</v>
      </c>
      <c r="N133" t="str">
        <f t="shared" si="6"/>
        <v>false</v>
      </c>
      <c r="O133" s="3" t="str">
        <f t="shared" si="11"/>
        <v>{ "workOsisID": "", "bookName": "Additional Syriac Psalms", "bookSubtitle": "", "bookOsisID": "5ApocSyrPss", "paratext": "PS3", "groups": ["Syriac Orthodox Canon", "Apocrypha"], "aliases": ["5 Apocryphal Syriac Psalms"], "chapterLabel": "Chapter", "verseLabel": "Verse", "authors": ["David"], "dateEarliest": "0000-01-01", "dateLatest": "0100-12-31", "hasData": false, "traditions": ["syriac"] },</v>
      </c>
    </row>
    <row r="134" spans="1:15" x14ac:dyDescent="0.2">
      <c r="A134" t="s">
        <v>401</v>
      </c>
      <c r="C134" t="s">
        <v>331</v>
      </c>
      <c r="E134" t="s">
        <v>458</v>
      </c>
      <c r="F134" t="s">
        <v>677</v>
      </c>
      <c r="H134" t="s">
        <v>697</v>
      </c>
      <c r="I134" s="7" t="s">
        <v>815</v>
      </c>
      <c r="J134" s="14" t="s">
        <v>1174</v>
      </c>
      <c r="K134" s="14" t="s">
        <v>1175</v>
      </c>
      <c r="L134" t="s">
        <v>473</v>
      </c>
      <c r="M134" t="s">
        <v>477</v>
      </c>
      <c r="N134" t="str">
        <f t="shared" ref="N134:N158" si="12">"false"</f>
        <v>false</v>
      </c>
      <c r="O134" s="3" t="str">
        <f t="shared" si="11"/>
        <v>{ "workOsisID": "", "bookName": "Josephus' Jewish War VI", "bookSubtitle": "", "bookOsisID": "JosephusJWvi", "paratext": null, "groups": ["Syriac Orthodox Canon", "Apocrypha"], "aliases": [], "chapterLabel": "Chapter", "verseLabel": "Verse", "authors": ["Josephus"], "dateEarliest": "0075-01-01", "dateLatest": "0079-12-31", "hasData": false, "traditions": ["academic"] },</v>
      </c>
    </row>
    <row r="135" spans="1:15" x14ac:dyDescent="0.2">
      <c r="A135" t="s">
        <v>333</v>
      </c>
      <c r="B135" t="s">
        <v>525</v>
      </c>
      <c r="C135" t="s">
        <v>332</v>
      </c>
      <c r="D135" t="s">
        <v>334</v>
      </c>
      <c r="E135" t="s">
        <v>459</v>
      </c>
      <c r="F135" t="s">
        <v>677</v>
      </c>
      <c r="G135" s="7" t="s">
        <v>755</v>
      </c>
      <c r="H135" t="s">
        <v>830</v>
      </c>
      <c r="I135" s="7" t="s">
        <v>815</v>
      </c>
      <c r="J135" s="14" t="s">
        <v>1129</v>
      </c>
      <c r="K135" s="14" t="s">
        <v>1101</v>
      </c>
      <c r="L135" t="s">
        <v>473</v>
      </c>
      <c r="M135" t="s">
        <v>477</v>
      </c>
      <c r="N135" t="str">
        <f t="shared" si="12"/>
        <v>false</v>
      </c>
      <c r="O135" s="3" t="str">
        <f t="shared" si="11"/>
        <v>{ "workOsisID": "Fathers", "bookName": "1 Clement", "bookSubtitle": "The First Epistle of Clement: To the Church of God at Corinth", "bookOsisID": "1Clem", "paratext": "1CL", "groups": ["Apostolic Fathers", "Apocrypha"], "aliases": [], "chapterLabel": "Chapter", "verseLabel": "Verse", "authors": ["Clement of Rome"], "dateEarliest": "0095-01-01", "dateLatest": "0100-12-31", "hasData": false, "traditions": ["academic"] },</v>
      </c>
    </row>
    <row r="136" spans="1:15" x14ac:dyDescent="0.2">
      <c r="A136" t="s">
        <v>336</v>
      </c>
      <c r="B136" t="s">
        <v>526</v>
      </c>
      <c r="C136" t="s">
        <v>335</v>
      </c>
      <c r="D136" t="s">
        <v>337</v>
      </c>
      <c r="E136" t="s">
        <v>459</v>
      </c>
      <c r="F136" t="s">
        <v>677</v>
      </c>
      <c r="G136" s="7" t="s">
        <v>755</v>
      </c>
      <c r="H136" t="s">
        <v>830</v>
      </c>
      <c r="I136" s="7" t="s">
        <v>815</v>
      </c>
      <c r="J136" s="14" t="s">
        <v>1176</v>
      </c>
      <c r="K136" s="14" t="s">
        <v>1130</v>
      </c>
      <c r="L136" t="s">
        <v>473</v>
      </c>
      <c r="M136" t="s">
        <v>477</v>
      </c>
      <c r="N136" t="str">
        <f t="shared" si="12"/>
        <v>false</v>
      </c>
      <c r="O136" s="3" t="str">
        <f t="shared" si="11"/>
        <v>{ "workOsisID": "Fathers", "bookName": "2 Clement", "bookSubtitle": "The Second Epistle of Clement", "bookOsisID": "2Clem", "paratext": "2CL", "groups": ["Apostolic Fathers", "Apocrypha"], "aliases": [], "chapterLabel": "Chapter", "verseLabel": "Verse", "authors": ["Clement of Rome"], "dateEarliest": "0120-01-01", "dateLatest": "0140-12-31", "hasData": false, "traditions": ["academic"] },</v>
      </c>
    </row>
    <row r="137" spans="1:15" x14ac:dyDescent="0.2">
      <c r="A137" t="s">
        <v>339</v>
      </c>
      <c r="B137" t="s">
        <v>527</v>
      </c>
      <c r="C137" t="s">
        <v>338</v>
      </c>
      <c r="E137" t="s">
        <v>459</v>
      </c>
      <c r="F137" t="s">
        <v>677</v>
      </c>
      <c r="G137" s="7" t="s">
        <v>755</v>
      </c>
      <c r="H137" t="s">
        <v>831</v>
      </c>
      <c r="I137" s="7" t="s">
        <v>815</v>
      </c>
      <c r="J137" s="14" t="s">
        <v>1177</v>
      </c>
      <c r="K137" s="14" t="s">
        <v>1178</v>
      </c>
      <c r="L137" t="s">
        <v>473</v>
      </c>
      <c r="M137" t="s">
        <v>477</v>
      </c>
      <c r="N137" t="str">
        <f t="shared" si="12"/>
        <v>false</v>
      </c>
      <c r="O137" s="3" t="str">
        <f t="shared" si="11"/>
        <v>{ "workOsisID": "Fathers", "bookName": "Ignatius to the Ephesians", "bookSubtitle": "The Epistle of Ignatius to the Ephesians", "bookOsisID": "IgnEph", "paratext": null, "groups": ["Apostolic Fathers", "Apocrypha"], "aliases": [], "chapterLabel": "Chapter", "verseLabel": "Verse", "authors": ["Ignatius of Antioch"], "dateEarliest": "0105-01-01", "dateLatest": "0115-12-31", "hasData": false, "traditions": ["academic"] },</v>
      </c>
    </row>
    <row r="138" spans="1:15" x14ac:dyDescent="0.2">
      <c r="A138" t="s">
        <v>341</v>
      </c>
      <c r="B138" t="s">
        <v>528</v>
      </c>
      <c r="C138" t="s">
        <v>340</v>
      </c>
      <c r="E138" t="s">
        <v>459</v>
      </c>
      <c r="F138" t="s">
        <v>677</v>
      </c>
      <c r="G138" s="7" t="s">
        <v>755</v>
      </c>
      <c r="H138" t="s">
        <v>831</v>
      </c>
      <c r="I138" s="7" t="s">
        <v>815</v>
      </c>
      <c r="J138" s="14" t="s">
        <v>1177</v>
      </c>
      <c r="K138" s="14" t="s">
        <v>1178</v>
      </c>
      <c r="L138" t="s">
        <v>473</v>
      </c>
      <c r="M138" t="s">
        <v>477</v>
      </c>
      <c r="N138" t="str">
        <f t="shared" si="12"/>
        <v>false</v>
      </c>
      <c r="O138" s="3" t="str">
        <f t="shared" si="11"/>
        <v>{ "workOsisID": "Fathers", "bookName": "Ignatius to the Magnesians", "bookSubtitle": "The Epistle of Ignatius to the Magnesians", "bookOsisID": "IgnMagn", "paratext": null, "groups": ["Apostolic Fathers", "Apocrypha"], "aliases": [], "chapterLabel": "Chapter", "verseLabel": "Verse", "authors": ["Ignatius of Antioch"], "dateEarliest": "0105-01-01", "dateLatest": "0115-12-31", "hasData": false, "traditions": ["academic"] },</v>
      </c>
    </row>
    <row r="139" spans="1:15" x14ac:dyDescent="0.2">
      <c r="A139" t="s">
        <v>343</v>
      </c>
      <c r="B139" t="s">
        <v>529</v>
      </c>
      <c r="C139" t="s">
        <v>342</v>
      </c>
      <c r="E139" t="s">
        <v>459</v>
      </c>
      <c r="F139" t="s">
        <v>677</v>
      </c>
      <c r="G139" s="7" t="s">
        <v>755</v>
      </c>
      <c r="H139" t="s">
        <v>831</v>
      </c>
      <c r="I139" s="7" t="s">
        <v>815</v>
      </c>
      <c r="J139" s="14" t="s">
        <v>1177</v>
      </c>
      <c r="K139" s="14" t="s">
        <v>1178</v>
      </c>
      <c r="L139" t="s">
        <v>473</v>
      </c>
      <c r="M139" t="s">
        <v>477</v>
      </c>
      <c r="N139" t="str">
        <f t="shared" si="12"/>
        <v>false</v>
      </c>
      <c r="O139" s="3" t="str">
        <f t="shared" si="11"/>
        <v>{ "workOsisID": "Fathers", "bookName": "Ignatius to the Trallians", "bookSubtitle": "The Epistle of Ignatius to the Trallians", "bookOsisID": "IgnTrall", "paratext": null, "groups": ["Apostolic Fathers", "Apocrypha"], "aliases": [], "chapterLabel": "Chapter", "verseLabel": "Verse", "authors": ["Ignatius of Antioch"], "dateEarliest": "0105-01-01", "dateLatest": "0115-12-31", "hasData": false, "traditions": ["academic"] },</v>
      </c>
    </row>
    <row r="140" spans="1:15" x14ac:dyDescent="0.2">
      <c r="A140" t="s">
        <v>345</v>
      </c>
      <c r="B140" t="s">
        <v>530</v>
      </c>
      <c r="C140" t="s">
        <v>344</v>
      </c>
      <c r="E140" t="s">
        <v>459</v>
      </c>
      <c r="F140" t="s">
        <v>677</v>
      </c>
      <c r="G140" s="7" t="s">
        <v>755</v>
      </c>
      <c r="H140" t="s">
        <v>831</v>
      </c>
      <c r="I140" s="7" t="s">
        <v>815</v>
      </c>
      <c r="J140" s="14" t="s">
        <v>1177</v>
      </c>
      <c r="K140" s="14" t="s">
        <v>1178</v>
      </c>
      <c r="L140" t="s">
        <v>473</v>
      </c>
      <c r="M140" t="s">
        <v>477</v>
      </c>
      <c r="N140" t="str">
        <f t="shared" si="12"/>
        <v>false</v>
      </c>
      <c r="O140" s="3" t="str">
        <f t="shared" si="11"/>
        <v>{ "workOsisID": "Fathers", "bookName": "Ignatius to the Romans", "bookSubtitle": "The Epistle of Ignatius to the Romans", "bookOsisID": "IgnRom", "paratext": null, "groups": ["Apostolic Fathers", "Apocrypha"], "aliases": [], "chapterLabel": "Chapter", "verseLabel": "Verse", "authors": ["Ignatius of Antioch"], "dateEarliest": "0105-01-01", "dateLatest": "0115-12-31", "hasData": false, "traditions": ["academic"] },</v>
      </c>
    </row>
    <row r="141" spans="1:15" x14ac:dyDescent="0.2">
      <c r="A141" t="s">
        <v>347</v>
      </c>
      <c r="B141" t="s">
        <v>531</v>
      </c>
      <c r="C141" t="s">
        <v>346</v>
      </c>
      <c r="E141" t="s">
        <v>459</v>
      </c>
      <c r="F141" t="s">
        <v>677</v>
      </c>
      <c r="G141" s="7" t="s">
        <v>755</v>
      </c>
      <c r="H141" t="s">
        <v>831</v>
      </c>
      <c r="I141" s="7" t="s">
        <v>815</v>
      </c>
      <c r="J141" s="14" t="s">
        <v>1177</v>
      </c>
      <c r="K141" s="14" t="s">
        <v>1178</v>
      </c>
      <c r="L141" t="s">
        <v>473</v>
      </c>
      <c r="M141" t="s">
        <v>477</v>
      </c>
      <c r="N141" t="str">
        <f t="shared" si="12"/>
        <v>false</v>
      </c>
      <c r="O141" s="3" t="str">
        <f t="shared" si="11"/>
        <v>{ "workOsisID": "Fathers", "bookName": "Ignatius to the Philadelphians", "bookSubtitle": "The Epistle of Ignatius to the Philadelphians", "bookOsisID": "IgnPhld", "paratext": null, "groups": ["Apostolic Fathers", "Apocrypha"], "aliases": [], "chapterLabel": "Chapter", "verseLabel": "Verse", "authors": ["Ignatius of Antioch"], "dateEarliest": "0105-01-01", "dateLatest": "0115-12-31", "hasData": false, "traditions": ["academic"] },</v>
      </c>
    </row>
    <row r="142" spans="1:15" x14ac:dyDescent="0.2">
      <c r="A142" t="s">
        <v>349</v>
      </c>
      <c r="B142" t="s">
        <v>544</v>
      </c>
      <c r="C142" t="s">
        <v>348</v>
      </c>
      <c r="E142" t="s">
        <v>459</v>
      </c>
      <c r="F142" t="s">
        <v>677</v>
      </c>
      <c r="G142" s="7" t="s">
        <v>755</v>
      </c>
      <c r="H142" t="s">
        <v>831</v>
      </c>
      <c r="I142" s="7" t="s">
        <v>815</v>
      </c>
      <c r="J142" s="14" t="s">
        <v>1177</v>
      </c>
      <c r="K142" s="14" t="s">
        <v>1178</v>
      </c>
      <c r="L142" t="s">
        <v>473</v>
      </c>
      <c r="M142" t="s">
        <v>477</v>
      </c>
      <c r="N142" t="str">
        <f t="shared" si="12"/>
        <v>false</v>
      </c>
      <c r="O142" s="3" t="str">
        <f t="shared" si="11"/>
        <v>{ "workOsisID": "Fathers", "bookName": "Ignatius to the Smyrnaeans", "bookSubtitle": "The Epistle of Ignatius to the Smyrnaeans", "bookOsisID": "IgnSmyrn", "paratext": null, "groups": ["Apostolic Fathers", "Apocrypha"], "aliases": [], "chapterLabel": "Chapter", "verseLabel": "Verse", "authors": ["Ignatius of Antioch"], "dateEarliest": "0105-01-01", "dateLatest": "0115-12-31", "hasData": false, "traditions": ["academic"] },</v>
      </c>
    </row>
    <row r="143" spans="1:15" x14ac:dyDescent="0.2">
      <c r="A143" t="s">
        <v>351</v>
      </c>
      <c r="B143" t="s">
        <v>545</v>
      </c>
      <c r="C143" t="s">
        <v>350</v>
      </c>
      <c r="E143" t="s">
        <v>459</v>
      </c>
      <c r="F143" t="s">
        <v>677</v>
      </c>
      <c r="G143" s="7" t="s">
        <v>755</v>
      </c>
      <c r="H143" t="s">
        <v>831</v>
      </c>
      <c r="I143" s="7" t="s">
        <v>815</v>
      </c>
      <c r="J143" s="14" t="s">
        <v>1177</v>
      </c>
      <c r="K143" s="14" t="s">
        <v>1178</v>
      </c>
      <c r="L143" t="s">
        <v>473</v>
      </c>
      <c r="M143" t="s">
        <v>477</v>
      </c>
      <c r="N143" t="str">
        <f t="shared" si="12"/>
        <v>false</v>
      </c>
      <c r="O143" s="3" t="str">
        <f t="shared" si="11"/>
        <v>{ "workOsisID": "Fathers", "bookName": "Ignatius to Polycarp", "bookSubtitle": "The Epistle of Ignatius to Polycarp", "bookOsisID": "IgnPol", "paratext": null, "groups": ["Apostolic Fathers", "Apocrypha"], "aliases": [], "chapterLabel": "Chapter", "verseLabel": "Verse", "authors": ["Ignatius of Antioch"], "dateEarliest": "0105-01-01", "dateLatest": "0115-12-31", "hasData": false, "traditions": ["academic"] },</v>
      </c>
    </row>
    <row r="144" spans="1:15" x14ac:dyDescent="0.2">
      <c r="A144" t="s">
        <v>353</v>
      </c>
      <c r="B144" t="s">
        <v>546</v>
      </c>
      <c r="C144" t="s">
        <v>352</v>
      </c>
      <c r="E144" t="s">
        <v>459</v>
      </c>
      <c r="F144" t="s">
        <v>677</v>
      </c>
      <c r="G144" s="7" t="s">
        <v>755</v>
      </c>
      <c r="H144" t="s">
        <v>698</v>
      </c>
      <c r="I144" s="7" t="s">
        <v>815</v>
      </c>
      <c r="J144" s="14" t="s">
        <v>1179</v>
      </c>
      <c r="K144" s="14" t="s">
        <v>1180</v>
      </c>
      <c r="L144" t="s">
        <v>473</v>
      </c>
      <c r="M144" t="s">
        <v>477</v>
      </c>
      <c r="N144" t="str">
        <f t="shared" si="12"/>
        <v>false</v>
      </c>
      <c r="O144" s="3" t="str">
        <f t="shared" si="11"/>
        <v>{ "workOsisID": "Fathers", "bookName": "Polycarp to the Philippians", "bookSubtitle": "The Epistle of Polycarp to the Philippians", "bookOsisID": "PolPhil", "paratext": null, "groups": ["Apostolic Fathers", "Apocrypha"], "aliases": [], "chapterLabel": "Chapter", "verseLabel": "Verse", "authors": ["Polycarp"], "dateEarliest": "0110-01-01", "dateLatest": "0130-12-31", "hasData": false, "traditions": ["academic"] },</v>
      </c>
    </row>
    <row r="145" spans="1:15" x14ac:dyDescent="0.2">
      <c r="A145" t="s">
        <v>355</v>
      </c>
      <c r="B145" t="s">
        <v>547</v>
      </c>
      <c r="C145" t="s">
        <v>354</v>
      </c>
      <c r="E145" t="s">
        <v>459</v>
      </c>
      <c r="F145" t="s">
        <v>677</v>
      </c>
      <c r="G145" s="7" t="s">
        <v>755</v>
      </c>
      <c r="H145" t="s">
        <v>832</v>
      </c>
      <c r="I145" s="7" t="s">
        <v>815</v>
      </c>
      <c r="J145" s="14" t="s">
        <v>1181</v>
      </c>
      <c r="K145" s="14" t="s">
        <v>1182</v>
      </c>
      <c r="L145" t="s">
        <v>473</v>
      </c>
      <c r="M145" t="s">
        <v>477</v>
      </c>
      <c r="N145" t="str">
        <f t="shared" si="12"/>
        <v>false</v>
      </c>
      <c r="O145" s="3" t="str">
        <f t="shared" si="11"/>
        <v>{ "workOsisID": "Fathers", "bookName": "Martyrdom of Polycarp", "bookSubtitle": "The Martyrdom of St. Polycarp", "bookOsisID": "MartPol", "paratext": null, "groups": ["Apostolic Fathers", "Apocrypha"], "aliases": [], "chapterLabel": "Chapter", "verseLabel": "Verse", "authors": ["Eyewitnesses at Smyrna"], "dateEarliest": "0155-01-01", "dateLatest": "0160-12-31", "hasData": false, "traditions": ["academic"] },</v>
      </c>
    </row>
    <row r="146" spans="1:15" s="3" customFormat="1" x14ac:dyDescent="0.2">
      <c r="A146" s="3" t="s">
        <v>357</v>
      </c>
      <c r="B146" s="3" t="s">
        <v>549</v>
      </c>
      <c r="C146" s="3" t="s">
        <v>356</v>
      </c>
      <c r="D146" s="3" t="s">
        <v>358</v>
      </c>
      <c r="E146" s="3" t="s">
        <v>459</v>
      </c>
      <c r="F146" s="3" t="s">
        <v>677</v>
      </c>
      <c r="G146" s="6" t="s">
        <v>357</v>
      </c>
      <c r="H146" t="s">
        <v>677</v>
      </c>
      <c r="I146" s="7" t="s">
        <v>815</v>
      </c>
      <c r="J146" s="14" t="s">
        <v>1104</v>
      </c>
      <c r="K146" s="14" t="s">
        <v>1101</v>
      </c>
      <c r="L146" s="3" t="s">
        <v>473</v>
      </c>
      <c r="M146" s="3" t="s">
        <v>477</v>
      </c>
      <c r="N146" s="3" t="str">
        <f t="shared" ref="N146" si="13">"true"</f>
        <v>true</v>
      </c>
      <c r="O146" s="3" t="str">
        <f t="shared" si="11"/>
        <v>{ "workOsisID": "Didache", "bookName": "Didache", "bookSubtitle": "The Lord's Teaching Through the Twelve Apostles to the Nations", "bookOsisID": "Did", "paratext": "DID", "groups": ["Apostolic Fathers", "Apocrypha"], "aliases": [], "chapterLabel": "Chapter", "verseLabel": "Verse", "authors": [], "dateEarliest": "0080-01-01", "dateLatest": "0100-12-31", "hasData": true, "traditions": ["academic"] },</v>
      </c>
    </row>
    <row r="147" spans="1:15" x14ac:dyDescent="0.2">
      <c r="A147" t="s">
        <v>360</v>
      </c>
      <c r="B147" t="s">
        <v>548</v>
      </c>
      <c r="C147" t="s">
        <v>359</v>
      </c>
      <c r="E147" t="s">
        <v>459</v>
      </c>
      <c r="F147" s="10" t="s">
        <v>677</v>
      </c>
      <c r="G147" s="7" t="s">
        <v>755</v>
      </c>
      <c r="H147" t="s">
        <v>699</v>
      </c>
      <c r="I147" s="7" t="s">
        <v>815</v>
      </c>
      <c r="J147" s="14" t="s">
        <v>1106</v>
      </c>
      <c r="K147" s="14" t="s">
        <v>1183</v>
      </c>
      <c r="L147" t="s">
        <v>473</v>
      </c>
      <c r="M147" t="s">
        <v>477</v>
      </c>
      <c r="N147" t="str">
        <f t="shared" si="12"/>
        <v>false</v>
      </c>
      <c r="O147" s="3" t="str">
        <f t="shared" si="11"/>
        <v>{ "workOsisID": "Fathers", "bookName": "Barnabas", "bookSubtitle": "The Epistle of Barnabas", "bookOsisID": "Barn", "paratext": null, "groups": ["Apostolic Fathers", "Apocrypha"], "aliases": [], "chapterLabel": "Chapter", "verseLabel": "Verse", "authors": ["Barnabas"], "dateEarliest": "0090-01-01", "dateLatest": "0132-12-31", "hasData": false, "traditions": ["academic"] },</v>
      </c>
    </row>
    <row r="148" spans="1:15" x14ac:dyDescent="0.2">
      <c r="A148" t="s">
        <v>411</v>
      </c>
      <c r="B148" t="s">
        <v>550</v>
      </c>
      <c r="C148" t="s">
        <v>361</v>
      </c>
      <c r="D148" t="s">
        <v>362</v>
      </c>
      <c r="E148" t="s">
        <v>459</v>
      </c>
      <c r="F148" s="10" t="s">
        <v>677</v>
      </c>
      <c r="G148" s="7" t="s">
        <v>755</v>
      </c>
      <c r="H148" t="s">
        <v>833</v>
      </c>
      <c r="I148" s="7" t="s">
        <v>815</v>
      </c>
      <c r="J148" s="14" t="s">
        <v>1106</v>
      </c>
      <c r="K148" s="14" t="s">
        <v>1130</v>
      </c>
      <c r="L148" t="s">
        <v>473</v>
      </c>
      <c r="M148" t="s">
        <v>477</v>
      </c>
      <c r="N148" t="str">
        <f t="shared" si="12"/>
        <v>false</v>
      </c>
      <c r="O148" s="3" t="str">
        <f t="shared" si="11"/>
        <v>{ "workOsisID": "Fathers", "bookName": "Shepherd of Hermas", "bookSubtitle": "The Shepherd of Hermas", "bookOsisID": "Herm", "paratext": "SHE", "groups": ["Apostolic Fathers", "Apocrypha"], "aliases": [], "chapterLabel": "Chapter", "verseLabel": "Verse", "authors": ["Hermas"], "dateEarliest": "0090-01-01", "dateLatest": "0140-12-31", "hasData": false, "traditions": ["academic"] },</v>
      </c>
    </row>
    <row r="149" spans="1:15" x14ac:dyDescent="0.2">
      <c r="A149" t="s">
        <v>364</v>
      </c>
      <c r="B149" t="s">
        <v>551</v>
      </c>
      <c r="C149" t="s">
        <v>363</v>
      </c>
      <c r="E149" t="s">
        <v>459</v>
      </c>
      <c r="F149" s="10" t="s">
        <v>677</v>
      </c>
      <c r="G149" s="7" t="s">
        <v>755</v>
      </c>
      <c r="H149" t="s">
        <v>833</v>
      </c>
      <c r="I149" s="7" t="s">
        <v>815</v>
      </c>
      <c r="J149" s="14" t="s">
        <v>1106</v>
      </c>
      <c r="K149" s="14" t="s">
        <v>1130</v>
      </c>
      <c r="L149" t="s">
        <v>473</v>
      </c>
      <c r="M149" t="s">
        <v>477</v>
      </c>
      <c r="N149" t="str">
        <f t="shared" si="12"/>
        <v>false</v>
      </c>
      <c r="O149" s="3" t="str">
        <f t="shared" si="11"/>
        <v>{ "workOsisID": "Fathers", "bookName": "Shepherd of Hermas, Mandates", "bookSubtitle": "The Shepherd of Hermas - 12 Commandments", "bookOsisID": "Herm.Mand", "paratext": null, "groups": ["Apostolic Fathers", "Apocrypha"], "aliases": [], "chapterLabel": "Chapter", "verseLabel": "Verse", "authors": ["Hermas"], "dateEarliest": "0090-01-01", "dateLatest": "0140-12-31", "hasData": false, "traditions": ["academic"] },</v>
      </c>
    </row>
    <row r="150" spans="1:15" x14ac:dyDescent="0.2">
      <c r="A150" t="s">
        <v>366</v>
      </c>
      <c r="B150" t="s">
        <v>552</v>
      </c>
      <c r="C150" t="s">
        <v>365</v>
      </c>
      <c r="E150" t="s">
        <v>459</v>
      </c>
      <c r="F150" s="10" t="s">
        <v>677</v>
      </c>
      <c r="G150" s="7" t="s">
        <v>755</v>
      </c>
      <c r="H150" t="s">
        <v>833</v>
      </c>
      <c r="I150" s="7" t="s">
        <v>815</v>
      </c>
      <c r="J150" s="14" t="s">
        <v>1106</v>
      </c>
      <c r="K150" s="14" t="s">
        <v>1130</v>
      </c>
      <c r="L150" t="s">
        <v>473</v>
      </c>
      <c r="M150" t="s">
        <v>477</v>
      </c>
      <c r="N150" t="str">
        <f t="shared" si="12"/>
        <v>false</v>
      </c>
      <c r="O150" s="3" t="str">
        <f t="shared" si="11"/>
        <v>{ "workOsisID": "Fathers", "bookName": "Shepherd of Hermas, Similitudes", "bookSubtitle": "The Shepherd of Hermas - 10 Parables", "bookOsisID": "Herm.Sim", "paratext": null, "groups": ["Apostolic Fathers", "Apocrypha"], "aliases": [], "chapterLabel": "Chapter", "verseLabel": "Verse", "authors": ["Hermas"], "dateEarliest": "0090-01-01", "dateLatest": "0140-12-31", "hasData": false, "traditions": ["academic"] },</v>
      </c>
    </row>
    <row r="151" spans="1:15" x14ac:dyDescent="0.2">
      <c r="A151" t="s">
        <v>368</v>
      </c>
      <c r="B151" t="s">
        <v>553</v>
      </c>
      <c r="C151" t="s">
        <v>367</v>
      </c>
      <c r="E151" t="s">
        <v>459</v>
      </c>
      <c r="F151" s="10" t="s">
        <v>677</v>
      </c>
      <c r="G151" s="7" t="s">
        <v>755</v>
      </c>
      <c r="H151" t="s">
        <v>833</v>
      </c>
      <c r="I151" s="7" t="s">
        <v>815</v>
      </c>
      <c r="J151" s="14" t="s">
        <v>1106</v>
      </c>
      <c r="K151" s="14" t="s">
        <v>1130</v>
      </c>
      <c r="L151" t="s">
        <v>473</v>
      </c>
      <c r="M151" t="s">
        <v>477</v>
      </c>
      <c r="N151" t="str">
        <f t="shared" si="12"/>
        <v>false</v>
      </c>
      <c r="O151" s="3" t="str">
        <f t="shared" si="11"/>
        <v>{ "workOsisID": "Fathers", "bookName": "Shepherd of Hermas, Visions", "bookSubtitle": "The Shepherd of Hermas - 5 visions", "bookOsisID": "Herm.Vis", "paratext": null, "groups": ["Apostolic Fathers", "Apocrypha"], "aliases": [], "chapterLabel": "Chapter", "verseLabel": "Verse", "authors": ["Hermas"], "dateEarliest": "0090-01-01", "dateLatest": "0140-12-31", "hasData": false, "traditions": ["academic"] },</v>
      </c>
    </row>
    <row r="152" spans="1:15" x14ac:dyDescent="0.2">
      <c r="A152" t="s">
        <v>370</v>
      </c>
      <c r="B152" t="s">
        <v>554</v>
      </c>
      <c r="C152" t="s">
        <v>369</v>
      </c>
      <c r="E152" t="s">
        <v>459</v>
      </c>
      <c r="F152" s="10" t="s">
        <v>677</v>
      </c>
      <c r="G152" s="7" t="s">
        <v>755</v>
      </c>
      <c r="H152" t="s">
        <v>677</v>
      </c>
      <c r="I152" s="7" t="s">
        <v>815</v>
      </c>
      <c r="J152" s="14" t="s">
        <v>1184</v>
      </c>
      <c r="K152" s="14" t="s">
        <v>1138</v>
      </c>
      <c r="L152" t="s">
        <v>473</v>
      </c>
      <c r="M152" t="s">
        <v>477</v>
      </c>
      <c r="N152" t="str">
        <f t="shared" si="12"/>
        <v>false</v>
      </c>
      <c r="O152" s="3" t="str">
        <f t="shared" si="11"/>
        <v>{ "workOsisID": "Fathers", "bookName": "Diognetus", "bookSubtitle": "The Epistle to Diognetus", "bookOsisID": "Diogn", "paratext": null, "groups": ["Apostolic Fathers", "Apocrypha"], "aliases": [], "chapterLabel": "Chapter", "verseLabel": "Verse", "authors": [], "dateEarliest": "0130-01-01", "dateLatest": "0200-12-31", "hasData": false, "traditions": ["academic"] },</v>
      </c>
    </row>
    <row r="153" spans="1:15" x14ac:dyDescent="0.2">
      <c r="A153" s="2" t="s">
        <v>402</v>
      </c>
      <c r="B153" s="2"/>
      <c r="C153" t="s">
        <v>371</v>
      </c>
      <c r="E153" t="s">
        <v>459</v>
      </c>
      <c r="F153" s="10" t="s">
        <v>677</v>
      </c>
      <c r="G153" s="7" t="s">
        <v>755</v>
      </c>
      <c r="H153" t="s">
        <v>834</v>
      </c>
      <c r="I153" s="7" t="s">
        <v>819</v>
      </c>
      <c r="J153" s="14" t="s">
        <v>1185</v>
      </c>
      <c r="K153" s="14" t="s">
        <v>1186</v>
      </c>
      <c r="L153" t="s">
        <v>473</v>
      </c>
      <c r="M153" t="s">
        <v>477</v>
      </c>
      <c r="N153" t="str">
        <f t="shared" si="12"/>
        <v>false</v>
      </c>
      <c r="O153" s="3" t="str">
        <f t="shared" si="11"/>
        <v>{ "workOsisID": "Fathers", "bookName": "Apostles' Creed", "bookSubtitle": "", "bookOsisID": "AposCreed", "paratext": null, "groups": ["Apostolic Fathers", "Apocrypha"], "aliases": [], "chapterLabel": "Chapter", "verseLabel": "Verse", "authors": ["The Apostles"], "dateEarliest": "0150-01-01", "dateLatest": "0325-12-31", "hasData": false, "traditions": ["protestant","roman catholic"] },</v>
      </c>
    </row>
    <row r="154" spans="1:15" x14ac:dyDescent="0.2">
      <c r="A154" t="s">
        <v>403</v>
      </c>
      <c r="B154" t="s">
        <v>555</v>
      </c>
      <c r="C154" t="s">
        <v>372</v>
      </c>
      <c r="E154" t="s">
        <v>459</v>
      </c>
      <c r="F154" s="10" t="s">
        <v>677</v>
      </c>
      <c r="G154" s="7" t="s">
        <v>755</v>
      </c>
      <c r="H154" t="s">
        <v>835</v>
      </c>
      <c r="I154" s="7" t="s">
        <v>815</v>
      </c>
      <c r="J154" s="14" t="s">
        <v>1171</v>
      </c>
      <c r="K154" s="14" t="s">
        <v>1180</v>
      </c>
      <c r="L154" t="s">
        <v>473</v>
      </c>
      <c r="M154" t="s">
        <v>477</v>
      </c>
      <c r="N154" t="str">
        <f t="shared" si="12"/>
        <v>false</v>
      </c>
      <c r="O154" s="3" t="str">
        <f t="shared" si="11"/>
        <v>{ "workOsisID": "Fathers", "bookName": "Fragments of Papias", "bookSubtitle": "Fragments of the Writings of Papias of Hierapolis", "bookOsisID": "PapFrag", "paratext": null, "groups": ["Apostolic Fathers", "Apocrypha"], "aliases": [], "chapterLabel": "Chapter", "verseLabel": "Verse", "authors": ["Papias of Hierapolis"], "dateEarliest": "0100-01-01", "dateLatest": "0130-12-31", "hasData": false, "traditions": ["academic"] },</v>
      </c>
    </row>
    <row r="155" spans="1:15" x14ac:dyDescent="0.2">
      <c r="A155" t="s">
        <v>404</v>
      </c>
      <c r="C155" t="s">
        <v>373</v>
      </c>
      <c r="E155" t="s">
        <v>459</v>
      </c>
      <c r="F155" s="10" t="s">
        <v>677</v>
      </c>
      <c r="G155" s="7" t="s">
        <v>755</v>
      </c>
      <c r="H155" t="s">
        <v>677</v>
      </c>
      <c r="I155" s="7" t="s">
        <v>815</v>
      </c>
      <c r="J155" s="14" t="s">
        <v>1185</v>
      </c>
      <c r="K155" s="14" t="s">
        <v>1138</v>
      </c>
      <c r="L155" t="s">
        <v>473</v>
      </c>
      <c r="M155" t="s">
        <v>477</v>
      </c>
      <c r="N155" t="str">
        <f t="shared" si="12"/>
        <v>false</v>
      </c>
      <c r="O155" s="3" t="str">
        <f t="shared" si="11"/>
        <v>{ "workOsisID": "Fathers", "bookName": "Reliques of the Elders", "bookSubtitle": "", "bookOsisID": "RelElders", "paratext": null, "groups": ["Apostolic Fathers", "Apocrypha"], "aliases": [], "chapterLabel": "Chapter", "verseLabel": "Verse", "authors": [], "dateEarliest": "0150-01-01", "dateLatest": "0200-12-31", "hasData": false, "traditions": ["academic"] },</v>
      </c>
    </row>
    <row r="156" spans="1:15" x14ac:dyDescent="0.2">
      <c r="A156" t="s">
        <v>405</v>
      </c>
      <c r="B156" t="s">
        <v>556</v>
      </c>
      <c r="C156" t="s">
        <v>374</v>
      </c>
      <c r="E156" t="s">
        <v>459</v>
      </c>
      <c r="F156" s="10" t="s">
        <v>677</v>
      </c>
      <c r="G156" s="7" t="s">
        <v>755</v>
      </c>
      <c r="H156" t="s">
        <v>836</v>
      </c>
      <c r="I156" s="7" t="s">
        <v>815</v>
      </c>
      <c r="J156" s="14" t="s">
        <v>1176</v>
      </c>
      <c r="K156" s="14" t="s">
        <v>1180</v>
      </c>
      <c r="L156" t="s">
        <v>473</v>
      </c>
      <c r="M156" t="s">
        <v>477</v>
      </c>
      <c r="N156" t="str">
        <f t="shared" si="12"/>
        <v>false</v>
      </c>
      <c r="O156" s="3" t="str">
        <f t="shared" si="11"/>
        <v>{ "workOsisID": "Fathers", "bookName": "Fragment of Quadratus", "bookSubtitle": "Fragment of the Apology of Quadratus of Athens", "bookOsisID": "QuadFrag", "paratext": null, "groups": ["Apostolic Fathers", "Apocrypha"], "aliases": [], "chapterLabel": "Chapter", "verseLabel": "Verse", "authors": ["Quadratus of Athens"], "dateEarliest": "0120-01-01", "dateLatest": "0130-12-31", "hasData": false, "traditions": ["academic"] },</v>
      </c>
    </row>
    <row r="157" spans="1:15" x14ac:dyDescent="0.2">
      <c r="A157" t="s">
        <v>376</v>
      </c>
      <c r="C157" t="s">
        <v>375</v>
      </c>
      <c r="E157" t="s">
        <v>460</v>
      </c>
      <c r="F157" t="s">
        <v>441</v>
      </c>
      <c r="G157" s="7" t="s">
        <v>1222</v>
      </c>
      <c r="H157" t="s">
        <v>837</v>
      </c>
      <c r="I157" s="7" t="s">
        <v>815</v>
      </c>
      <c r="J157" s="14" t="s">
        <v>1131</v>
      </c>
      <c r="K157" s="14" t="s">
        <v>1132</v>
      </c>
      <c r="L157" t="s">
        <v>473</v>
      </c>
      <c r="M157" t="s">
        <v>477</v>
      </c>
      <c r="N157" t="str">
        <f t="shared" si="12"/>
        <v>false</v>
      </c>
      <c r="O157" s="3" t="str">
        <f t="shared" si="11"/>
        <v>{ "workOsisID": "Academic", "bookName": "Diatessaron", "bookSubtitle": "", "bookOsisID": "TatDiat", "paratext": null, "groups": ["Apocrypha", "Apocrypha"], "aliases": ["Tatian's Diatessaron","Tatian"], "chapterLabel": "Chapter", "verseLabel": "Verse", "authors": ["Tatian"], "dateEarliest": "0160-01-01", "dateLatest": "0175-12-31", "hasData": false, "traditions": ["academic"] },</v>
      </c>
    </row>
    <row r="158" spans="1:15" x14ac:dyDescent="0.2">
      <c r="A158" t="s">
        <v>406</v>
      </c>
      <c r="C158" t="s">
        <v>377</v>
      </c>
      <c r="D158" t="s">
        <v>378</v>
      </c>
      <c r="E158" t="s">
        <v>460</v>
      </c>
      <c r="F158" t="s">
        <v>677</v>
      </c>
      <c r="G158" s="7" t="s">
        <v>1222</v>
      </c>
      <c r="H158" s="7" t="s">
        <v>677</v>
      </c>
      <c r="I158" s="7" t="s">
        <v>815</v>
      </c>
      <c r="J158" s="14" t="s">
        <v>1131</v>
      </c>
      <c r="K158" s="14" t="s">
        <v>1187</v>
      </c>
      <c r="L158" t="s">
        <v>473</v>
      </c>
      <c r="M158" t="s">
        <v>477</v>
      </c>
      <c r="N158" t="str">
        <f t="shared" si="12"/>
        <v>false</v>
      </c>
      <c r="O158" s="3" t="str">
        <f t="shared" si="11"/>
        <v>{ "workOsisID": "Academic", "bookName": "Metrical Psalms", "bookSubtitle": "", "bookOsisID": "PsMet", "paratext": "PSB", "groups": ["Apocrypha", "Apocrypha"], "aliases": [], "chapterLabel": "Chapter", "verseLabel": "Verse", "authors": [], "dateEarliest": "0160-01-01", "dateLatest": "0180-12-31", "hasData": false, "traditions": ["academic"] },</v>
      </c>
    </row>
    <row r="159" spans="1:15" s="3" customFormat="1" x14ac:dyDescent="0.2">
      <c r="A159" s="3" t="s">
        <v>412</v>
      </c>
      <c r="C159" s="3" t="s">
        <v>413</v>
      </c>
      <c r="E159" s="3" t="s">
        <v>461</v>
      </c>
      <c r="F159" s="3" t="s">
        <v>728</v>
      </c>
      <c r="G159" s="6" t="s">
        <v>484</v>
      </c>
      <c r="H159" s="6" t="s">
        <v>671</v>
      </c>
      <c r="I159" s="6" t="s">
        <v>795</v>
      </c>
      <c r="J159" s="15" t="s">
        <v>589</v>
      </c>
      <c r="K159" s="15" t="s">
        <v>590</v>
      </c>
      <c r="L159" s="3" t="s">
        <v>473</v>
      </c>
      <c r="M159" s="3" t="s">
        <v>477</v>
      </c>
      <c r="N159" s="3" t="str">
        <f t="shared" ref="N159:N179" si="14">"true"</f>
        <v>true</v>
      </c>
      <c r="O159" s="3" t="str">
        <f t="shared" si="11"/>
        <v>{ "workOsisID": "BofM", "bookName": "1 Nephi", "bookSubtitle": "", "bookOsisID": "1Ne", "paratext": null, "groups": ["Book of Mormon", "Small Plates of Nephi", "LDS"], "aliases": ["1 Ne", "1st Nephi", "First Nephi", "The First Book of Nephi","I Nephi"], "chapterLabel": "Chapter", "verseLabel": "Verse", "authors": ["Nephi"], "dateEarliest": "-0600-01-01", "dateLatest": "-0570-01-01", "hasData": true, "traditions": ["lds"] },</v>
      </c>
    </row>
    <row r="160" spans="1:15" s="3" customFormat="1" x14ac:dyDescent="0.2">
      <c r="A160" s="3" t="s">
        <v>414</v>
      </c>
      <c r="C160" s="3" t="s">
        <v>415</v>
      </c>
      <c r="E160" s="3" t="s">
        <v>461</v>
      </c>
      <c r="F160" s="3" t="s">
        <v>729</v>
      </c>
      <c r="G160" s="6" t="s">
        <v>484</v>
      </c>
      <c r="H160" s="6" t="s">
        <v>671</v>
      </c>
      <c r="I160" s="6" t="s">
        <v>795</v>
      </c>
      <c r="J160" s="15" t="s">
        <v>591</v>
      </c>
      <c r="K160" s="15" t="s">
        <v>592</v>
      </c>
      <c r="L160" s="3" t="s">
        <v>473</v>
      </c>
      <c r="M160" s="3" t="s">
        <v>477</v>
      </c>
      <c r="N160" s="3" t="str">
        <f t="shared" si="14"/>
        <v>true</v>
      </c>
      <c r="O160" s="3" t="str">
        <f t="shared" si="11"/>
        <v>{ "workOsisID": "BofM", "bookName": "2 Nephi", "bookSubtitle": "", "bookOsisID": "2Ne", "paratext": null, "groups": ["Book of Mormon", "Small Plates of Nephi", "LDS"], "aliases": ["2 Ne", "2nd Nephi", "Second Nephi", "The Second Book of Nephi", "II Nephi"], "chapterLabel": "Chapter", "verseLabel": "Verse", "authors": ["Nephi"], "dateEarliest": "-0588-01-01", "dateLatest": "-0545-01-01", "hasData": true, "traditions": ["lds"] },</v>
      </c>
    </row>
    <row r="161" spans="1:15" s="3" customFormat="1" x14ac:dyDescent="0.2">
      <c r="A161" s="3" t="s">
        <v>416</v>
      </c>
      <c r="B161" s="3" t="s">
        <v>714</v>
      </c>
      <c r="C161" s="3" t="s">
        <v>417</v>
      </c>
      <c r="E161" s="3" t="s">
        <v>461</v>
      </c>
      <c r="F161" s="3" t="s">
        <v>677</v>
      </c>
      <c r="G161" s="6" t="s">
        <v>484</v>
      </c>
      <c r="H161" s="6" t="s">
        <v>672</v>
      </c>
      <c r="I161" s="6" t="s">
        <v>795</v>
      </c>
      <c r="J161" s="15" t="s">
        <v>593</v>
      </c>
      <c r="K161" s="15" t="s">
        <v>594</v>
      </c>
      <c r="L161" s="3" t="s">
        <v>473</v>
      </c>
      <c r="M161" s="3" t="s">
        <v>477</v>
      </c>
      <c r="N161" s="3" t="str">
        <f t="shared" si="14"/>
        <v>true</v>
      </c>
      <c r="O161" s="3" t="str">
        <f t="shared" si="11"/>
        <v>{ "workOsisID": "BofM", "bookName": "Jacob", "bookSubtitle": "the Brother of Nephi", "bookOsisID": "Jac", "paratext": null, "groups": ["Book of Mormon", "Small Plates of Nephi", "LDS"], "aliases": [], "chapterLabel": "Chapter", "verseLabel": "Verse", "authors": ["Jacob"], "dateEarliest": "-0544-01-01", "dateLatest": "-0421-01-01", "hasData": true, "traditions": ["lds"] },</v>
      </c>
    </row>
    <row r="162" spans="1:15" s="3" customFormat="1" x14ac:dyDescent="0.2">
      <c r="A162" s="3" t="s">
        <v>418</v>
      </c>
      <c r="C162" s="3" t="s">
        <v>418</v>
      </c>
      <c r="E162" s="3" t="s">
        <v>461</v>
      </c>
      <c r="F162" s="3" t="s">
        <v>677</v>
      </c>
      <c r="G162" s="6" t="s">
        <v>484</v>
      </c>
      <c r="H162" s="6" t="s">
        <v>700</v>
      </c>
      <c r="I162" s="6" t="s">
        <v>795</v>
      </c>
      <c r="J162" s="15" t="s">
        <v>595</v>
      </c>
      <c r="K162" s="15" t="s">
        <v>595</v>
      </c>
      <c r="L162" s="3" t="s">
        <v>473</v>
      </c>
      <c r="M162" s="3" t="s">
        <v>477</v>
      </c>
      <c r="N162" s="3" t="str">
        <f t="shared" si="14"/>
        <v>true</v>
      </c>
      <c r="O162" s="3" t="str">
        <f t="shared" si="11"/>
        <v>{ "workOsisID": "BofM", "bookName": "Enos", "bookSubtitle": "", "bookOsisID": "Enos", "paratext": null, "groups": ["Book of Mormon", "Small Plates of Nephi", "LDS"], "aliases": [], "chapterLabel": "Chapter", "verseLabel": "Verse", "authors": ["Enos"], "dateEarliest": "-0420-01-01", "dateLatest": "-0420-01-01", "hasData": true, "traditions": ["lds"] },</v>
      </c>
    </row>
    <row r="163" spans="1:15" s="3" customFormat="1" x14ac:dyDescent="0.2">
      <c r="A163" s="3" t="s">
        <v>452</v>
      </c>
      <c r="C163" s="3" t="s">
        <v>422</v>
      </c>
      <c r="E163" s="3" t="s">
        <v>461</v>
      </c>
      <c r="F163" s="3" t="s">
        <v>677</v>
      </c>
      <c r="G163" s="6" t="s">
        <v>484</v>
      </c>
      <c r="H163" s="6" t="s">
        <v>701</v>
      </c>
      <c r="I163" s="6" t="s">
        <v>795</v>
      </c>
      <c r="J163" s="15" t="s">
        <v>596</v>
      </c>
      <c r="K163" s="15" t="s">
        <v>597</v>
      </c>
      <c r="L163" s="3" t="s">
        <v>473</v>
      </c>
      <c r="M163" s="3" t="s">
        <v>477</v>
      </c>
      <c r="N163" s="3" t="str">
        <f t="shared" si="14"/>
        <v>true</v>
      </c>
      <c r="O163" s="3" t="str">
        <f t="shared" si="11"/>
        <v>{ "workOsisID": "BofM", "bookName": "Jarom", "bookSubtitle": "", "bookOsisID": "Jar", "paratext": null, "groups": ["Book of Mormon", "Small Plates of Nephi", "LDS"], "aliases": [], "chapterLabel": "Chapter", "verseLabel": "Verse", "authors": ["Jarom"], "dateEarliest": "-0399-01-01", "dateLatest": "-0361-01-01", "hasData": true, "traditions": ["lds"] },</v>
      </c>
    </row>
    <row r="164" spans="1:15" s="3" customFormat="1" x14ac:dyDescent="0.2">
      <c r="A164" s="3" t="s">
        <v>419</v>
      </c>
      <c r="C164" s="3" t="s">
        <v>419</v>
      </c>
      <c r="E164" s="3" t="s">
        <v>461</v>
      </c>
      <c r="F164" s="3" t="s">
        <v>677</v>
      </c>
      <c r="G164" s="6" t="s">
        <v>484</v>
      </c>
      <c r="H164" s="6" t="s">
        <v>702</v>
      </c>
      <c r="I164" s="6" t="s">
        <v>795</v>
      </c>
      <c r="J164" s="15" t="s">
        <v>598</v>
      </c>
      <c r="K164" s="15" t="s">
        <v>599</v>
      </c>
      <c r="L164" s="3" t="s">
        <v>473</v>
      </c>
      <c r="M164" s="3" t="s">
        <v>477</v>
      </c>
      <c r="N164" s="3" t="str">
        <f t="shared" si="14"/>
        <v>true</v>
      </c>
      <c r="O164" s="3" t="str">
        <f t="shared" si="11"/>
        <v>{ "workOsisID": "BofM", "bookName": "Omni", "bookSubtitle": "", "bookOsisID": "Omni", "paratext": null, "groups": ["Book of Mormon", "Small Plates of Nephi", "LDS"], "aliases": [], "chapterLabel": "Chapter", "verseLabel": "Verse", "authors": ["Omni","Chemish","Abinadom","Amaleki"], "dateEarliest": "-0323-01-01", "dateLatest": "-0130-01-01", "hasData": true, "traditions": ["lds"] },</v>
      </c>
    </row>
    <row r="165" spans="1:15" s="3" customFormat="1" x14ac:dyDescent="0.2">
      <c r="A165" s="3" t="s">
        <v>420</v>
      </c>
      <c r="C165" s="3" t="s">
        <v>421</v>
      </c>
      <c r="E165" s="3" t="s">
        <v>462</v>
      </c>
      <c r="F165" s="3" t="s">
        <v>677</v>
      </c>
      <c r="G165" s="6" t="s">
        <v>484</v>
      </c>
      <c r="H165" s="6" t="s">
        <v>673</v>
      </c>
      <c r="I165" s="6" t="s">
        <v>795</v>
      </c>
      <c r="J165" s="15" t="s">
        <v>600</v>
      </c>
      <c r="K165" s="15" t="s">
        <v>600</v>
      </c>
      <c r="L165" s="3" t="s">
        <v>473</v>
      </c>
      <c r="M165" s="3" t="s">
        <v>477</v>
      </c>
      <c r="N165" s="3" t="str">
        <f t="shared" si="14"/>
        <v>true</v>
      </c>
      <c r="O165" s="3" t="str">
        <f t="shared" si="11"/>
        <v>{ "workOsisID": "BofM", "bookName": "Words of Mormon", "bookSubtitle": "", "bookOsisID": "WoM", "paratext": null, "groups": ["Book of Mormon", "LDS","Mormon"], "aliases": [], "chapterLabel": "Chapter", "verseLabel": "Verse", "authors": ["Mormon"], "dateEarliest": "0385-01-01", "dateLatest": "0385-01-01", "hasData": true, "traditions": ["lds"] },</v>
      </c>
    </row>
    <row r="166" spans="1:15" s="3" customFormat="1" x14ac:dyDescent="0.2">
      <c r="A166" s="3" t="s">
        <v>423</v>
      </c>
      <c r="C166" s="3" t="s">
        <v>436</v>
      </c>
      <c r="E166" s="3" t="s">
        <v>463</v>
      </c>
      <c r="F166" s="3" t="s">
        <v>677</v>
      </c>
      <c r="G166" s="6" t="s">
        <v>484</v>
      </c>
      <c r="H166" s="6" t="s">
        <v>673</v>
      </c>
      <c r="I166" s="6" t="s">
        <v>795</v>
      </c>
      <c r="J166" s="15" t="s">
        <v>599</v>
      </c>
      <c r="K166" s="15" t="s">
        <v>601</v>
      </c>
      <c r="L166" s="3" t="s">
        <v>473</v>
      </c>
      <c r="M166" s="3" t="s">
        <v>477</v>
      </c>
      <c r="N166" s="3" t="str">
        <f t="shared" si="14"/>
        <v>true</v>
      </c>
      <c r="O166" s="3" t="str">
        <f t="shared" si="11"/>
        <v>{ "workOsisID": "BofM", "bookName": "Mosiah", "bookSubtitle": "", "bookOsisID": "Mosi", "paratext": null, "groups": ["Book of Mormon", "LDS", "Mormon", "Large Plates of Nephi", "Abridgement"], "aliases": [], "chapterLabel": "Chapter", "verseLabel": "Verse", "authors": ["Mormon"], "dateEarliest": "-0130-01-01", "dateLatest": "-0091-01-01", "hasData": true, "traditions": ["lds"] },</v>
      </c>
    </row>
    <row r="167" spans="1:15" s="3" customFormat="1" x14ac:dyDescent="0.2">
      <c r="A167" s="3" t="s">
        <v>424</v>
      </c>
      <c r="B167" s="3" t="s">
        <v>715</v>
      </c>
      <c r="C167" s="3" t="s">
        <v>424</v>
      </c>
      <c r="E167" s="3" t="s">
        <v>463</v>
      </c>
      <c r="F167" s="3" t="s">
        <v>677</v>
      </c>
      <c r="G167" s="6" t="s">
        <v>484</v>
      </c>
      <c r="H167" s="6" t="s">
        <v>673</v>
      </c>
      <c r="I167" s="6" t="s">
        <v>795</v>
      </c>
      <c r="J167" s="15" t="s">
        <v>601</v>
      </c>
      <c r="K167" s="15" t="s">
        <v>602</v>
      </c>
      <c r="L167" s="3" t="s">
        <v>473</v>
      </c>
      <c r="M167" s="3" t="s">
        <v>477</v>
      </c>
      <c r="N167" s="3" t="str">
        <f t="shared" si="14"/>
        <v>true</v>
      </c>
      <c r="O167" s="3" t="str">
        <f t="shared" si="11"/>
        <v>{ "workOsisID": "BofM", "bookName": "Alma", "bookSubtitle": "the Son of Alma", "bookOsisID": "Alma", "paratext": null, "groups": ["Book of Mormon", "LDS", "Mormon", "Large Plates of Nephi", "Abridgement"], "aliases": [], "chapterLabel": "Chapter", "verseLabel": "Verse", "authors": ["Mormon"], "dateEarliest": "-0091-01-01", "dateLatest": "-0052-01-01", "hasData": true, "traditions": ["lds"] },</v>
      </c>
    </row>
    <row r="168" spans="1:15" s="3" customFormat="1" x14ac:dyDescent="0.2">
      <c r="A168" s="3" t="s">
        <v>425</v>
      </c>
      <c r="C168" s="3" t="s">
        <v>426</v>
      </c>
      <c r="E168" s="3" t="s">
        <v>463</v>
      </c>
      <c r="F168" s="3" t="s">
        <v>466</v>
      </c>
      <c r="G168" s="6" t="s">
        <v>484</v>
      </c>
      <c r="H168" s="6" t="s">
        <v>673</v>
      </c>
      <c r="I168" s="6" t="s">
        <v>795</v>
      </c>
      <c r="J168" s="15" t="s">
        <v>602</v>
      </c>
      <c r="K168" s="15" t="s">
        <v>603</v>
      </c>
      <c r="L168" s="3" t="s">
        <v>473</v>
      </c>
      <c r="M168" s="3" t="s">
        <v>477</v>
      </c>
      <c r="N168" s="3" t="str">
        <f t="shared" si="14"/>
        <v>true</v>
      </c>
      <c r="O168" s="3" t="str">
        <f t="shared" si="11"/>
        <v>{ "workOsisID": "BofM", "bookName": "Helaman", "bookSubtitle": "", "bookOsisID": "Hel", "paratext": null, "groups": ["Book of Mormon", "LDS", "Mormon", "Large Plates of Nephi", "Abridgement"], "aliases": ["He", "Hlm", "Helm"], "chapterLabel": "Chapter", "verseLabel": "Verse", "authors": ["Mormon"], "dateEarliest": "-0052-01-01", "dateLatest": "-0001-01-01", "hasData": true, "traditions": ["lds"] },</v>
      </c>
    </row>
    <row r="169" spans="1:15" s="3" customFormat="1" x14ac:dyDescent="0.2">
      <c r="A169" s="3" t="s">
        <v>427</v>
      </c>
      <c r="B169" s="3" t="s">
        <v>713</v>
      </c>
      <c r="C169" s="3" t="s">
        <v>428</v>
      </c>
      <c r="E169" s="3" t="s">
        <v>463</v>
      </c>
      <c r="F169" s="3" t="s">
        <v>475</v>
      </c>
      <c r="G169" s="6" t="s">
        <v>484</v>
      </c>
      <c r="H169" s="6" t="s">
        <v>673</v>
      </c>
      <c r="I169" s="6" t="s">
        <v>795</v>
      </c>
      <c r="J169" s="15" t="s">
        <v>604</v>
      </c>
      <c r="K169" s="15" t="s">
        <v>605</v>
      </c>
      <c r="L169" s="3" t="s">
        <v>473</v>
      </c>
      <c r="M169" s="3" t="s">
        <v>477</v>
      </c>
      <c r="N169" s="3" t="str">
        <f t="shared" si="14"/>
        <v>true</v>
      </c>
      <c r="O169" s="3" t="str">
        <f t="shared" si="11"/>
        <v>{ "workOsisID": "BofM", "bookName": "3 Nephi", "bookSubtitle": "the Son of Nephi, Who Was the Son of Helaman", "bookOsisID": "3Ne", "paratext": null, "groups": ["Book of Mormon", "LDS", "Mormon", "Large Plates of Nephi", "Abridgement"], "aliases": ["3 Ne", "3rd Nephi", "Third Nephi","III Nephi"], "chapterLabel": "Chapter", "verseLabel": "Verse", "authors": ["Mormon"], "dateEarliest": "0005-01-01", "dateLatest": "0035-01-01", "hasData": true, "traditions": ["lds"] },</v>
      </c>
    </row>
    <row r="170" spans="1:15" s="3" customFormat="1" x14ac:dyDescent="0.2">
      <c r="A170" s="3" t="s">
        <v>429</v>
      </c>
      <c r="B170" s="3" t="s">
        <v>712</v>
      </c>
      <c r="C170" s="3" t="s">
        <v>430</v>
      </c>
      <c r="E170" s="3" t="s">
        <v>463</v>
      </c>
      <c r="F170" s="3" t="s">
        <v>467</v>
      </c>
      <c r="G170" s="6" t="s">
        <v>484</v>
      </c>
      <c r="H170" s="6" t="s">
        <v>673</v>
      </c>
      <c r="I170" s="6" t="s">
        <v>795</v>
      </c>
      <c r="J170" s="15" t="s">
        <v>605</v>
      </c>
      <c r="K170" s="15" t="s">
        <v>606</v>
      </c>
      <c r="L170" s="3" t="s">
        <v>473</v>
      </c>
      <c r="M170" s="3" t="s">
        <v>477</v>
      </c>
      <c r="N170" s="3" t="str">
        <f t="shared" si="14"/>
        <v>true</v>
      </c>
      <c r="O170" s="3" t="str">
        <f t="shared" si="11"/>
        <v>{ "workOsisID": "BofM", "bookName": "4 Nephi", "bookSubtitle": "Who Is the Son of Nephi—One of the Disciples of Jesus Christ", "bookOsisID": "4Ne", "paratext": null, "groups": ["Book of Mormon", "LDS", "Mormon", "Large Plates of Nephi", "Abridgement"], "aliases": ["4 Ne", "4th Nephi", "Fourth Nephi","IV Nephi"], "chapterLabel": "Chapter", "verseLabel": "Verse", "authors": ["Mormon"], "dateEarliest": "0035-01-01", "dateLatest": "0321-01-01", "hasData": true, "traditions": ["lds"] },</v>
      </c>
    </row>
    <row r="171" spans="1:15" s="3" customFormat="1" x14ac:dyDescent="0.2">
      <c r="A171" s="3" t="s">
        <v>431</v>
      </c>
      <c r="C171" s="3" t="s">
        <v>432</v>
      </c>
      <c r="E171" s="3" t="s">
        <v>463</v>
      </c>
      <c r="F171" s="3" t="s">
        <v>730</v>
      </c>
      <c r="G171" s="6" t="s">
        <v>484</v>
      </c>
      <c r="H171" s="6" t="s">
        <v>673</v>
      </c>
      <c r="I171" s="6" t="s">
        <v>795</v>
      </c>
      <c r="J171" s="15" t="s">
        <v>606</v>
      </c>
      <c r="K171" s="15" t="s">
        <v>607</v>
      </c>
      <c r="L171" s="3" t="s">
        <v>473</v>
      </c>
      <c r="M171" s="3" t="s">
        <v>477</v>
      </c>
      <c r="N171" s="3" t="str">
        <f t="shared" si="14"/>
        <v>true</v>
      </c>
      <c r="O171" s="3" t="str">
        <f t="shared" si="11"/>
        <v>{ "workOsisID": "BofM", "bookName": "Mormon", "bookSubtitle": "", "bookOsisID": "Morm", "paratext": null, "groups": ["Book of Mormon", "LDS", "Mormon", "Large Plates of Nephi", "Abridgement"], "aliases": ["Mmn"], "chapterLabel": "Chapter", "verseLabel": "Verse", "authors": ["Mormon"], "dateEarliest": "0321-01-01", "dateLatest": "0421-01-01", "hasData": true, "traditions": ["lds"] },</v>
      </c>
    </row>
    <row r="172" spans="1:15" s="3" customFormat="1" x14ac:dyDescent="0.2">
      <c r="A172" s="3" t="s">
        <v>434</v>
      </c>
      <c r="B172" s="3" t="s">
        <v>716</v>
      </c>
      <c r="C172" s="3" t="s">
        <v>435</v>
      </c>
      <c r="E172" s="3" t="s">
        <v>463</v>
      </c>
      <c r="F172" s="3" t="s">
        <v>677</v>
      </c>
      <c r="G172" s="6" t="s">
        <v>484</v>
      </c>
      <c r="H172" s="6" t="s">
        <v>673</v>
      </c>
      <c r="I172" s="6" t="s">
        <v>795</v>
      </c>
      <c r="J172" s="15" t="s">
        <v>608</v>
      </c>
      <c r="K172" s="15" t="s">
        <v>609</v>
      </c>
      <c r="L172" s="3" t="s">
        <v>473</v>
      </c>
      <c r="M172" s="3" t="s">
        <v>477</v>
      </c>
      <c r="N172" s="3" t="str">
        <f t="shared" si="14"/>
        <v>true</v>
      </c>
      <c r="O172" s="3" t="str">
        <f t="shared" si="11"/>
        <v>{ "workOsisID": "BofM", "bookName": "Ether", "bookSubtitle": "The record of the Jaredites, taken from the twenty-four plates found by the people of Limhi in the days of King Mosiah.", "bookOsisID": "Eth", "paratext": null, "groups": ["Book of Mormon", "LDS", "Mormon", "Large Plates of Nephi", "Abridgement"], "aliases": [], "chapterLabel": "Chapter", "verseLabel": "Verse", "authors": ["Mormon"], "dateEarliest": "-2200-01-01", "dateLatest": "-0350-01-01", "hasData": true, "traditions": ["lds"] },</v>
      </c>
    </row>
    <row r="173" spans="1:15" s="3" customFormat="1" x14ac:dyDescent="0.2">
      <c r="A173" s="3" t="s">
        <v>433</v>
      </c>
      <c r="C173" s="3" t="s">
        <v>437</v>
      </c>
      <c r="E173" s="3" t="s">
        <v>463</v>
      </c>
      <c r="F173" s="3" t="s">
        <v>731</v>
      </c>
      <c r="G173" s="6" t="s">
        <v>484</v>
      </c>
      <c r="H173" s="6" t="s">
        <v>673</v>
      </c>
      <c r="I173" s="6" t="s">
        <v>795</v>
      </c>
      <c r="J173" s="15" t="s">
        <v>610</v>
      </c>
      <c r="K173" s="15" t="s">
        <v>610</v>
      </c>
      <c r="L173" s="3" t="s">
        <v>473</v>
      </c>
      <c r="M173" s="3" t="s">
        <v>477</v>
      </c>
      <c r="N173" s="3" t="str">
        <f t="shared" si="14"/>
        <v>true</v>
      </c>
      <c r="O173" s="3" t="str">
        <f t="shared" si="11"/>
        <v>{ "workOsisID": "BofM", "bookName": "Moroni", "bookSubtitle": "", "bookOsisID": "Moro", "paratext": null, "groups": ["Book of Mormon", "LDS", "Mormon", "Large Plates of Nephi", "Abridgement"], "aliases": ["Mni"], "chapterLabel": "Chapter", "verseLabel": "Verse", "authors": ["Mormon"], "dateEarliest": "0401-01-01", "dateLatest": "0401-01-01", "hasData": true, "traditions": ["lds"] },</v>
      </c>
    </row>
    <row r="174" spans="1:15" s="3" customFormat="1" x14ac:dyDescent="0.2">
      <c r="A174" s="3" t="s">
        <v>439</v>
      </c>
      <c r="B174" s="3" t="s">
        <v>570</v>
      </c>
      <c r="C174" s="3" t="s">
        <v>440</v>
      </c>
      <c r="E174" s="3" t="s">
        <v>464</v>
      </c>
      <c r="F174" s="3" t="s">
        <v>732</v>
      </c>
      <c r="G174" s="6" t="s">
        <v>485</v>
      </c>
      <c r="H174" s="6" t="s">
        <v>657</v>
      </c>
      <c r="I174" s="6" t="s">
        <v>795</v>
      </c>
      <c r="J174" s="12" t="s">
        <v>1213</v>
      </c>
      <c r="K174" s="12" t="s">
        <v>1214</v>
      </c>
      <c r="L174" s="3" t="s">
        <v>473</v>
      </c>
      <c r="M174" s="3" t="s">
        <v>477</v>
      </c>
      <c r="N174" s="3" t="str">
        <f t="shared" si="14"/>
        <v>true</v>
      </c>
      <c r="O174" s="3" t="str">
        <f t="shared" si="11"/>
        <v>{ "workOsisID": "PGP", "bookName": "Moses", "bookSubtitle": "Selections from the Book of Moses", "bookOsisID": "Mos", "paratext": null, "groups": ["Pearl of Great Price", "Inspired Translation", "Joseph Smith Translation", "JST", "Joseph Smith", "LDS"], "aliases": ["The Book of Moses"], "chapterLabel": "Chapter", "verseLabel": "Verse", "authors": ["Moses"], "dateEarliest": "06-01-1830", "dateLatest": "02-01-1831", "hasData": true, "traditions": ["lds"] },</v>
      </c>
    </row>
    <row r="175" spans="1:15" s="3" customFormat="1" x14ac:dyDescent="0.2">
      <c r="A175" s="3" t="s">
        <v>444</v>
      </c>
      <c r="B175" s="3" t="s">
        <v>571</v>
      </c>
      <c r="C175" s="3" t="s">
        <v>445</v>
      </c>
      <c r="E175" s="3" t="s">
        <v>464</v>
      </c>
      <c r="F175" s="3" t="s">
        <v>733</v>
      </c>
      <c r="G175" s="6" t="s">
        <v>485</v>
      </c>
      <c r="H175" s="6" t="s">
        <v>674</v>
      </c>
      <c r="I175" s="6" t="s">
        <v>795</v>
      </c>
      <c r="J175" s="12" t="s">
        <v>1215</v>
      </c>
      <c r="K175" s="12" t="s">
        <v>1216</v>
      </c>
      <c r="L175" s="3" t="s">
        <v>473</v>
      </c>
      <c r="M175" s="3" t="s">
        <v>477</v>
      </c>
      <c r="N175" s="3" t="str">
        <f t="shared" si="14"/>
        <v>true</v>
      </c>
      <c r="O175" s="3" t="str">
        <f t="shared" si="11"/>
        <v>{ "workOsisID": "PGP", "bookName": "Abraham", "bookSubtitle": "Translated from the Papyrus, by Joseph Smith", "bookOsisID": "Abr", "paratext": null, "groups": ["Pearl of Great Price", "Inspired Translation", "Joseph Smith Translation", "JST", "Joseph Smith", "LDS"], "aliases": ["The Book of Abraham"], "chapterLabel": "Chapter", "verseLabel": "Verse", "authors": ["Abraham"], "dateEarliest": "07-01-1835", "dateLatest": "07-01-1842", "hasData": true, "traditions": ["lds"] },</v>
      </c>
    </row>
    <row r="176" spans="1:15" s="3" customFormat="1" x14ac:dyDescent="0.2">
      <c r="A176" s="3" t="s">
        <v>446</v>
      </c>
      <c r="B176" s="3" t="s">
        <v>574</v>
      </c>
      <c r="C176" s="3" t="s">
        <v>447</v>
      </c>
      <c r="E176" s="3" t="s">
        <v>465</v>
      </c>
      <c r="F176" s="3" t="s">
        <v>468</v>
      </c>
      <c r="G176" s="6" t="s">
        <v>485</v>
      </c>
      <c r="H176" s="6" t="s">
        <v>675</v>
      </c>
      <c r="I176" s="6" t="s">
        <v>795</v>
      </c>
      <c r="J176" s="12" t="s">
        <v>1217</v>
      </c>
      <c r="K176" s="12" t="s">
        <v>1217</v>
      </c>
      <c r="M176" s="3" t="s">
        <v>478</v>
      </c>
      <c r="N176" s="3" t="str">
        <f t="shared" si="14"/>
        <v>true</v>
      </c>
      <c r="O176" s="3" t="str">
        <f t="shared" si="11"/>
        <v>{ "workOsisID": "PGP", "bookName": "Articles of Faith", "bookSubtitle": "of The Church of Jesus Christ of Latter-day Saints", "bookOsisID": "AofF", "paratext": null, "groups": ["Pearl of Great Price", "LDS", "Joseph Smith"], "aliases": ["AofF"], "chapterLabel": "", "verseLabel": "Article", "authors": ["Joseph Smith"], "dateEarliest": "03-01-1842", "dateLatest": "03-01-1842", "hasData": true, "traditions": ["lds"] },</v>
      </c>
    </row>
    <row r="177" spans="1:15" s="3" customFormat="1" x14ac:dyDescent="0.2">
      <c r="A177" s="3" t="s">
        <v>577</v>
      </c>
      <c r="B177" s="3" t="s">
        <v>573</v>
      </c>
      <c r="C177" s="3" t="s">
        <v>448</v>
      </c>
      <c r="E177" s="3" t="s">
        <v>464</v>
      </c>
      <c r="F177" s="3" t="s">
        <v>734</v>
      </c>
      <c r="G177" s="6" t="s">
        <v>485</v>
      </c>
      <c r="H177" s="6" t="s">
        <v>675</v>
      </c>
      <c r="I177" s="6" t="s">
        <v>795</v>
      </c>
      <c r="J177" s="12" t="s">
        <v>1218</v>
      </c>
      <c r="K177" s="12" t="s">
        <v>1219</v>
      </c>
      <c r="M177" s="3" t="s">
        <v>477</v>
      </c>
      <c r="N177" s="3" t="str">
        <f t="shared" si="14"/>
        <v>true</v>
      </c>
      <c r="O177" s="3" t="str">
        <f t="shared" si="11"/>
        <v>{ "workOsisID": "PGP", "bookName": "Joseph Smith—History", "bookSubtitle": "Extracts from the History of Joseph Smith, the Prophet", "bookOsisID": "JSH", "paratext": null, "groups": ["Pearl of Great Price", "Inspired Translation", "Joseph Smith Translation", "JST", "Joseph Smith", "LDS"], "aliases": ["JSH", "JS-H", "Joseph Smith History","Joseph Smith--History"], "chapterLabel": "", "verseLabel": "Verse", "authors": ["Joseph Smith"], "dateEarliest": "04-01-1838", "dateLatest": "04-30-1838", "hasData": true, "traditions": ["lds"] },</v>
      </c>
    </row>
    <row r="178" spans="1:15" s="3" customFormat="1" x14ac:dyDescent="0.2">
      <c r="A178" s="3" t="s">
        <v>578</v>
      </c>
      <c r="B178" s="3" t="s">
        <v>572</v>
      </c>
      <c r="C178" s="3" t="s">
        <v>449</v>
      </c>
      <c r="E178" s="3" t="s">
        <v>464</v>
      </c>
      <c r="F178" s="3" t="s">
        <v>735</v>
      </c>
      <c r="G178" s="6" t="s">
        <v>485</v>
      </c>
      <c r="H178" s="6" t="s">
        <v>666</v>
      </c>
      <c r="I178" s="6" t="s">
        <v>795</v>
      </c>
      <c r="J178" s="12" t="s">
        <v>1220</v>
      </c>
      <c r="K178" s="12" t="s">
        <v>1221</v>
      </c>
      <c r="M178" s="3" t="s">
        <v>477</v>
      </c>
      <c r="N178" s="3" t="str">
        <f t="shared" si="14"/>
        <v>true</v>
      </c>
      <c r="O178" s="3" t="str">
        <f t="shared" si="11"/>
        <v>{ "workOsisID": "PGP", "bookName": "Joseph Smith—Matthew", "bookSubtitle": "An extract from the translation of the Bible as revealed to Joseph Smith the Prophet in 1831: Matthew 23:39 and chapter 24", "bookOsisID": "JSM", "paratext": null, "groups": ["Pearl of Great Price", "Inspired Translation", "Joseph Smith Translation", "JST", "Joseph Smith", "LDS"], "aliases": ["JSM","JS-M",  "Joseph Smith Matthew","Joseph Smith--Matthew"], "chapterLabel": "", "verseLabel": "Verse", "authors": ["St. Matthew"], "dateEarliest": "03-07-1831", "dateLatest": "03-10-1831", "hasData": true, "traditions": ["lds"] },</v>
      </c>
    </row>
    <row r="179" spans="1:15" s="3" customFormat="1" x14ac:dyDescent="0.2">
      <c r="A179" s="3" t="s">
        <v>451</v>
      </c>
      <c r="B179" s="3" t="s">
        <v>574</v>
      </c>
      <c r="C179" s="3" t="s">
        <v>451</v>
      </c>
      <c r="E179" s="3" t="s">
        <v>576</v>
      </c>
      <c r="F179" s="3" t="s">
        <v>644</v>
      </c>
      <c r="G179" s="6" t="s">
        <v>451</v>
      </c>
      <c r="H179" s="6" t="s">
        <v>675</v>
      </c>
      <c r="I179" s="6" t="s">
        <v>795</v>
      </c>
      <c r="J179" s="15" t="s">
        <v>1208</v>
      </c>
      <c r="K179" s="15" t="s">
        <v>1209</v>
      </c>
      <c r="L179" s="3" t="s">
        <v>474</v>
      </c>
      <c r="M179" s="3" t="s">
        <v>477</v>
      </c>
      <c r="N179" s="3" t="str">
        <f t="shared" si="14"/>
        <v>true</v>
      </c>
      <c r="O179" s="3" t="str">
        <f t="shared" si="11"/>
        <v>{ "workOsisID": "D&amp;C", "bookName": "D&amp;C", "bookSubtitle": "of The Church of Jesus Christ of Latter-day Saints", "bookOsisID": "D&amp;C", "paratext": null, "groups": ["Doctrine and Covenants","LDS"], "aliases": ["D and C", "The Doctrine &amp; Covenants","Doctrine &amp; Covenants", "The Doctrine and Covenants"], "chapterLabel": "Section", "verseLabel": "Verse", "authors": ["Joseph Smith"], "dateEarliest": "1823-09-21", "dateLatest": "1841-01-19", "hasData": true, "traditions": ["lds"] },</v>
      </c>
    </row>
    <row r="180" spans="1:15" x14ac:dyDescent="0.2">
      <c r="A180" t="s">
        <v>640</v>
      </c>
      <c r="I180" s="7" t="s">
        <v>1139</v>
      </c>
      <c r="J180" s="14" t="s">
        <v>1133</v>
      </c>
      <c r="K180" s="14" t="s">
        <v>1134</v>
      </c>
    </row>
    <row r="181" spans="1:15" x14ac:dyDescent="0.2">
      <c r="A181" t="s">
        <v>611</v>
      </c>
      <c r="I181" s="7" t="s">
        <v>1139</v>
      </c>
      <c r="J181" s="14" t="s">
        <v>1135</v>
      </c>
      <c r="K181" s="14" t="s">
        <v>1136</v>
      </c>
    </row>
    <row r="182" spans="1:15" x14ac:dyDescent="0.2">
      <c r="A182" t="s">
        <v>612</v>
      </c>
      <c r="I182" s="7" t="s">
        <v>1140</v>
      </c>
      <c r="J182" s="14" t="s">
        <v>1188</v>
      </c>
      <c r="K182" s="14" t="s">
        <v>1065</v>
      </c>
    </row>
    <row r="183" spans="1:15" x14ac:dyDescent="0.2">
      <c r="A183" t="s">
        <v>613</v>
      </c>
      <c r="I183" s="7" t="s">
        <v>1140</v>
      </c>
      <c r="J183" s="14" t="s">
        <v>1188</v>
      </c>
      <c r="K183" s="14" t="s">
        <v>1189</v>
      </c>
    </row>
    <row r="184" spans="1:15" x14ac:dyDescent="0.2">
      <c r="A184" t="s">
        <v>614</v>
      </c>
      <c r="I184" s="7" t="s">
        <v>1140</v>
      </c>
      <c r="J184" s="14" t="s">
        <v>1063</v>
      </c>
      <c r="K184" s="14" t="s">
        <v>1077</v>
      </c>
    </row>
    <row r="185" spans="1:15" x14ac:dyDescent="0.2">
      <c r="A185" t="s">
        <v>615</v>
      </c>
      <c r="I185" s="7" t="s">
        <v>1140</v>
      </c>
      <c r="J185" s="14" t="s">
        <v>1084</v>
      </c>
      <c r="K185" s="14" t="s">
        <v>1128</v>
      </c>
    </row>
    <row r="186" spans="1:15" x14ac:dyDescent="0.2">
      <c r="A186" t="s">
        <v>616</v>
      </c>
      <c r="I186" s="7" t="s">
        <v>1140</v>
      </c>
      <c r="J186" s="14" t="s">
        <v>1068</v>
      </c>
      <c r="K186" s="14" t="s">
        <v>1137</v>
      </c>
    </row>
    <row r="187" spans="1:15" x14ac:dyDescent="0.2">
      <c r="A187" t="s">
        <v>617</v>
      </c>
      <c r="I187" s="7" t="s">
        <v>1140</v>
      </c>
      <c r="J187" s="14" t="s">
        <v>1068</v>
      </c>
      <c r="K187" s="14" t="s">
        <v>1138</v>
      </c>
    </row>
    <row r="188" spans="1:15" x14ac:dyDescent="0.2">
      <c r="A188" t="s">
        <v>618</v>
      </c>
      <c r="I188" s="7" t="s">
        <v>1141</v>
      </c>
      <c r="J188" s="14" t="s">
        <v>1076</v>
      </c>
      <c r="K188" s="14" t="s">
        <v>1128</v>
      </c>
    </row>
    <row r="189" spans="1:15" x14ac:dyDescent="0.2">
      <c r="A189" t="s">
        <v>619</v>
      </c>
      <c r="I189" s="7" t="s">
        <v>1141</v>
      </c>
      <c r="J189" s="14" t="s">
        <v>1076</v>
      </c>
      <c r="K189" s="14" t="s">
        <v>1077</v>
      </c>
    </row>
    <row r="190" spans="1:15" x14ac:dyDescent="0.2">
      <c r="A190" t="s">
        <v>620</v>
      </c>
      <c r="I190" s="7" t="s">
        <v>1141</v>
      </c>
      <c r="J190" s="14" t="s">
        <v>1076</v>
      </c>
      <c r="K190" s="14" t="s">
        <v>1074</v>
      </c>
    </row>
    <row r="191" spans="1:15" x14ac:dyDescent="0.2">
      <c r="A191" t="s">
        <v>621</v>
      </c>
      <c r="I191" s="7" t="s">
        <v>1142</v>
      </c>
      <c r="J191" s="14" t="s">
        <v>1087</v>
      </c>
      <c r="K191" s="14" t="s">
        <v>1128</v>
      </c>
    </row>
    <row r="192" spans="1:15" x14ac:dyDescent="0.2">
      <c r="A192" t="s">
        <v>622</v>
      </c>
      <c r="I192" s="7" t="s">
        <v>1142</v>
      </c>
      <c r="J192" s="14" t="s">
        <v>1076</v>
      </c>
      <c r="K192" s="14" t="s">
        <v>1074</v>
      </c>
    </row>
    <row r="193" spans="1:11" x14ac:dyDescent="0.2">
      <c r="A193" t="s">
        <v>623</v>
      </c>
      <c r="I193" s="7" t="s">
        <v>1142</v>
      </c>
      <c r="J193" s="14" t="s">
        <v>1087</v>
      </c>
      <c r="K193" s="14" t="s">
        <v>1074</v>
      </c>
    </row>
    <row r="194" spans="1:11" x14ac:dyDescent="0.2">
      <c r="A194" t="s">
        <v>624</v>
      </c>
      <c r="I194" s="7" t="s">
        <v>1142</v>
      </c>
      <c r="J194" s="14" t="s">
        <v>1069</v>
      </c>
      <c r="K194" s="14" t="s">
        <v>1072</v>
      </c>
    </row>
    <row r="195" spans="1:11" x14ac:dyDescent="0.2">
      <c r="A195" t="s">
        <v>625</v>
      </c>
      <c r="I195" s="7" t="s">
        <v>1143</v>
      </c>
      <c r="J195" s="14" t="s">
        <v>589</v>
      </c>
      <c r="K195" s="14" t="s">
        <v>1072</v>
      </c>
    </row>
    <row r="196" spans="1:11" x14ac:dyDescent="0.2">
      <c r="A196" t="s">
        <v>626</v>
      </c>
      <c r="I196" s="7" t="s">
        <v>1143</v>
      </c>
      <c r="J196" s="14" t="s">
        <v>1190</v>
      </c>
      <c r="K196" s="14" t="s">
        <v>1072</v>
      </c>
    </row>
    <row r="197" spans="1:11" x14ac:dyDescent="0.2">
      <c r="A197" t="s">
        <v>627</v>
      </c>
      <c r="I197" s="7" t="s">
        <v>1144</v>
      </c>
      <c r="J197" s="14" t="s">
        <v>1191</v>
      </c>
      <c r="K197" s="14" t="s">
        <v>1077</v>
      </c>
    </row>
    <row r="198" spans="1:11" x14ac:dyDescent="0.2">
      <c r="A198" t="s">
        <v>628</v>
      </c>
      <c r="I198" s="7" t="s">
        <v>1148</v>
      </c>
      <c r="J198" s="14" t="s">
        <v>1061</v>
      </c>
      <c r="K198" s="14" t="s">
        <v>1077</v>
      </c>
    </row>
    <row r="199" spans="1:11" x14ac:dyDescent="0.2">
      <c r="A199" t="s">
        <v>629</v>
      </c>
      <c r="I199" s="7" t="s">
        <v>1144</v>
      </c>
      <c r="J199" s="14" t="s">
        <v>1192</v>
      </c>
      <c r="K199" s="14" t="s">
        <v>1193</v>
      </c>
    </row>
    <row r="200" spans="1:11" x14ac:dyDescent="0.2">
      <c r="A200" t="s">
        <v>630</v>
      </c>
      <c r="I200" s="7" t="s">
        <v>1145</v>
      </c>
      <c r="J200" s="14" t="s">
        <v>1087</v>
      </c>
      <c r="K200" s="14" t="s">
        <v>1194</v>
      </c>
    </row>
    <row r="201" spans="1:11" x14ac:dyDescent="0.2">
      <c r="A201" t="s">
        <v>631</v>
      </c>
      <c r="I201" s="7" t="s">
        <v>1145</v>
      </c>
      <c r="J201" s="14" t="s">
        <v>1195</v>
      </c>
      <c r="K201" s="14" t="s">
        <v>1196</v>
      </c>
    </row>
    <row r="202" spans="1:11" x14ac:dyDescent="0.2">
      <c r="A202" t="s">
        <v>632</v>
      </c>
      <c r="I202" s="7" t="s">
        <v>1146</v>
      </c>
      <c r="J202" s="14" t="s">
        <v>1197</v>
      </c>
      <c r="K202" s="14" t="s">
        <v>1198</v>
      </c>
    </row>
    <row r="203" spans="1:11" x14ac:dyDescent="0.2">
      <c r="A203" t="s">
        <v>633</v>
      </c>
      <c r="I203" s="7" t="s">
        <v>1146</v>
      </c>
      <c r="J203" s="14" t="s">
        <v>1199</v>
      </c>
      <c r="K203" s="14" t="s">
        <v>1200</v>
      </c>
    </row>
    <row r="204" spans="1:11" x14ac:dyDescent="0.2">
      <c r="A204" t="s">
        <v>634</v>
      </c>
      <c r="I204" s="7" t="s">
        <v>1146</v>
      </c>
      <c r="J204" s="14" t="s">
        <v>1201</v>
      </c>
      <c r="K204" s="14" t="s">
        <v>1162</v>
      </c>
    </row>
    <row r="205" spans="1:11" x14ac:dyDescent="0.2">
      <c r="A205" t="s">
        <v>635</v>
      </c>
      <c r="I205" s="7" t="s">
        <v>1147</v>
      </c>
      <c r="J205" s="14" t="s">
        <v>1195</v>
      </c>
      <c r="K205" s="14" t="s">
        <v>1202</v>
      </c>
    </row>
    <row r="206" spans="1:11" x14ac:dyDescent="0.2">
      <c r="A206" t="s">
        <v>636</v>
      </c>
      <c r="I206" s="7" t="s">
        <v>1149</v>
      </c>
      <c r="J206" s="14" t="s">
        <v>1203</v>
      </c>
      <c r="K206" s="14" t="s">
        <v>1204</v>
      </c>
    </row>
    <row r="207" spans="1:11" x14ac:dyDescent="0.2">
      <c r="A207" t="s">
        <v>637</v>
      </c>
      <c r="I207" s="7" t="s">
        <v>1147</v>
      </c>
      <c r="J207" s="14" t="s">
        <v>1205</v>
      </c>
      <c r="K207" s="14" t="s">
        <v>1206</v>
      </c>
    </row>
    <row r="208" spans="1:11" x14ac:dyDescent="0.2">
      <c r="A208" t="s">
        <v>638</v>
      </c>
      <c r="I208" s="7" t="s">
        <v>1147</v>
      </c>
      <c r="J208" s="14" t="s">
        <v>1203</v>
      </c>
      <c r="K208" s="14" t="s">
        <v>1200</v>
      </c>
    </row>
    <row r="209" spans="1:11" x14ac:dyDescent="0.2">
      <c r="A209" t="s">
        <v>639</v>
      </c>
      <c r="I209" s="7" t="s">
        <v>1150</v>
      </c>
      <c r="J209" s="14" t="s">
        <v>1207</v>
      </c>
      <c r="K209" s="14" t="s">
        <v>1189</v>
      </c>
    </row>
  </sheetData>
  <autoFilter ref="A1:E179" xr:uid="{2457BBF2-065A-6B4B-8450-DD145766C676}"/>
  <hyperlinks>
    <hyperlink ref="A18" r:id="rId1" location="cite_note-6" display="https://wiki.crosswire.org/OSIS_Book_Abbreviations - cite_note-6" xr:uid="{413E20E8-A50F-EA4D-8B77-20FFD74AB053}"/>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CD579-589B-8442-BE20-716F9EAF0623}">
  <dimension ref="B1:I9"/>
  <sheetViews>
    <sheetView workbookViewId="0">
      <selection activeCell="I9" sqref="I2:I9"/>
    </sheetView>
  </sheetViews>
  <sheetFormatPr baseColWidth="10" defaultRowHeight="16" x14ac:dyDescent="0.2"/>
  <cols>
    <col min="1" max="1" width="10.83203125" customWidth="1"/>
    <col min="3" max="3" width="31.5" customWidth="1"/>
    <col min="4" max="4" width="31.33203125" customWidth="1"/>
    <col min="5" max="5" width="67.83203125" customWidth="1"/>
    <col min="6" max="7" width="13.5" customWidth="1"/>
    <col min="8" max="8" width="11.33203125" customWidth="1"/>
  </cols>
  <sheetData>
    <row r="1" spans="2:9" x14ac:dyDescent="0.2">
      <c r="B1" s="8" t="s">
        <v>480</v>
      </c>
      <c r="C1" s="8" t="s">
        <v>584</v>
      </c>
      <c r="D1" s="8" t="s">
        <v>585</v>
      </c>
      <c r="E1" s="8" t="s">
        <v>641</v>
      </c>
      <c r="F1" s="8" t="s">
        <v>717</v>
      </c>
      <c r="G1" s="8" t="s">
        <v>718</v>
      </c>
      <c r="H1" s="8" t="s">
        <v>676</v>
      </c>
      <c r="I1" s="8" t="s">
        <v>586</v>
      </c>
    </row>
    <row r="2" spans="2:9" x14ac:dyDescent="0.2">
      <c r="B2" t="s">
        <v>483</v>
      </c>
      <c r="C2" t="s">
        <v>579</v>
      </c>
      <c r="D2" t="s">
        <v>580</v>
      </c>
      <c r="E2" t="s">
        <v>655</v>
      </c>
      <c r="H2" t="str">
        <f>"true"</f>
        <v>true</v>
      </c>
      <c r="I2" t="str">
        <f>"{ ""workOsisID"": """&amp;B2&amp;""", ""workTitle"": """&amp;C2&amp;""", ""workSubtitle"": """&amp;D2&amp;""", ""aliases"": "&amp;E2&amp;", ""hasData"": "&amp;H2&amp;" },"</f>
        <v>{ "workOsisID": "KJV", "workTitle": "The Holy Bible", "workSubtitle": "King James Version", "aliases": ["The Bible","Bible","Holy Bible"], "hasData": true },</v>
      </c>
    </row>
    <row r="3" spans="2:9" x14ac:dyDescent="0.2">
      <c r="B3" t="s">
        <v>482</v>
      </c>
      <c r="C3" t="s">
        <v>581</v>
      </c>
      <c r="D3" t="s">
        <v>580</v>
      </c>
      <c r="E3" t="s">
        <v>645</v>
      </c>
      <c r="H3" t="str">
        <f t="shared" ref="H3:H8" si="0">"true"</f>
        <v>true</v>
      </c>
      <c r="I3" t="str">
        <f t="shared" ref="I3:I9" si="1">"{ ""workOsisID"": """&amp;B3&amp;""", ""workTitle"": """&amp;C3&amp;""", ""workSubtitle"": """&amp;D3&amp;""", ""aliases"": "&amp;E3&amp;", ""hasData"": "&amp;H3&amp;" },"</f>
        <v>{ "workOsisID": "KJVA", "workTitle": "The Holy Bible Apocrypha", "workSubtitle": "King James Version", "aliases": ["King James Apocrypha"], "hasData": true },</v>
      </c>
    </row>
    <row r="4" spans="2:9" x14ac:dyDescent="0.2">
      <c r="B4" t="s">
        <v>309</v>
      </c>
      <c r="C4" t="s">
        <v>583</v>
      </c>
      <c r="E4" t="s">
        <v>647</v>
      </c>
      <c r="H4" t="str">
        <f>"false"</f>
        <v>false</v>
      </c>
      <c r="I4" t="str">
        <f t="shared" si="1"/>
        <v>{ "workOsisID": "T12Patr", "workTitle": "Testaments of the Twelve Patriarchs", "workSubtitle": "", "aliases": ["The Testaments of the Twelve Patriarchs","The Testament of the Twelve Patriarchs","The Testament of the 12 Patriarchs","Testament of the Twelve Patriarchs","Testament of the 12 Patriarchs","Testaments of the 12 Patriarchs","12 Patriarchs","The 12 Patriarchs","The Twelve Patriarchs","T 12 Patriarchs", "12 Patr"], "hasData": false },</v>
      </c>
    </row>
    <row r="5" spans="2:9" x14ac:dyDescent="0.2">
      <c r="B5" t="s">
        <v>357</v>
      </c>
      <c r="C5" t="s">
        <v>357</v>
      </c>
      <c r="D5" t="str">
        <f>Books!B146</f>
        <v>The Lord's Teaching Through the Twelve Apostles to the Nations</v>
      </c>
      <c r="E5" t="s">
        <v>646</v>
      </c>
      <c r="H5" t="str">
        <f t="shared" si="0"/>
        <v>true</v>
      </c>
      <c r="I5" t="str">
        <f t="shared" si="1"/>
        <v>{ "workOsisID": "Didache", "workTitle": "Didache", "workSubtitle": "The Lord's Teaching Through the Twelve Apostles to the Nations", "aliases": ["The Didache"], "hasData": true },</v>
      </c>
    </row>
    <row r="6" spans="2:9" x14ac:dyDescent="0.2">
      <c r="B6" t="s">
        <v>484</v>
      </c>
      <c r="C6" t="s">
        <v>582</v>
      </c>
      <c r="D6" t="s">
        <v>486</v>
      </c>
      <c r="E6" t="s">
        <v>642</v>
      </c>
      <c r="H6" t="str">
        <f t="shared" si="0"/>
        <v>true</v>
      </c>
      <c r="I6" t="str">
        <f t="shared" si="1"/>
        <v>{ "workOsisID": "BofM", "workTitle": "The Book of Mormon", "workSubtitle": "Another Testament of Jesus Christ", "aliases": ["BOM","Book of Mormon"], "hasData": true },</v>
      </c>
    </row>
    <row r="7" spans="2:9" x14ac:dyDescent="0.2">
      <c r="B7" t="s">
        <v>485</v>
      </c>
      <c r="C7" t="s">
        <v>438</v>
      </c>
      <c r="D7" t="s">
        <v>574</v>
      </c>
      <c r="E7" t="s">
        <v>643</v>
      </c>
      <c r="H7" t="str">
        <f t="shared" si="0"/>
        <v>true</v>
      </c>
      <c r="I7" t="str">
        <f t="shared" si="1"/>
        <v>{ "workOsisID": "PGP", "workTitle": "Pearl of Great Price", "workSubtitle": "of The Church of Jesus Christ of Latter-day Saints", "aliases": ["The Pearl of Great Price","PGoP"], "hasData": true },</v>
      </c>
    </row>
    <row r="8" spans="2:9" x14ac:dyDescent="0.2">
      <c r="B8" t="s">
        <v>451</v>
      </c>
      <c r="C8" t="s">
        <v>575</v>
      </c>
      <c r="D8" t="s">
        <v>574</v>
      </c>
      <c r="E8" t="s">
        <v>644</v>
      </c>
      <c r="H8" t="str">
        <f t="shared" si="0"/>
        <v>true</v>
      </c>
      <c r="I8" t="str">
        <f t="shared" si="1"/>
        <v>{ "workOsisID": "D&amp;C", "workTitle": "Doctrine and Covenants", "workSubtitle": "of The Church of Jesus Christ of Latter-day Saints", "aliases": ["D and C", "The Doctrine &amp; Covenants","Doctrine &amp; Covenants", "The Doctrine and Covenants"], "hasData": true },</v>
      </c>
    </row>
    <row r="9" spans="2:9" x14ac:dyDescent="0.2">
      <c r="B9" t="s">
        <v>755</v>
      </c>
      <c r="C9" t="s">
        <v>751</v>
      </c>
      <c r="D9" t="s">
        <v>756</v>
      </c>
      <c r="E9" t="s">
        <v>757</v>
      </c>
      <c r="H9" t="str">
        <f>"false"</f>
        <v>false</v>
      </c>
      <c r="I9" t="str">
        <f t="shared" si="1"/>
        <v>{ "workOsisID": "Fathers", "workTitle": "Apostolic Fathers", "workSubtitle": "Translated by J.  B. Lightfoot", "aliases": ["The Apostolic Fathers"], "hasData": false },</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C9280-1854-C242-AC16-754DEBEA1FC8}">
  <dimension ref="A1:A2"/>
  <sheetViews>
    <sheetView workbookViewId="0">
      <selection activeCell="A3" sqref="A3"/>
    </sheetView>
  </sheetViews>
  <sheetFormatPr baseColWidth="10" defaultRowHeight="16" x14ac:dyDescent="0.2"/>
  <sheetData>
    <row r="1" spans="1:1" x14ac:dyDescent="0.2">
      <c r="A1" t="s">
        <v>753</v>
      </c>
    </row>
    <row r="2" spans="1:1" x14ac:dyDescent="0.2">
      <c r="A2" t="s">
        <v>754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FBE4-6CF2-6444-A987-CFA16C57AC75}">
  <dimension ref="A1:U114"/>
  <sheetViews>
    <sheetView topLeftCell="A38" workbookViewId="0">
      <selection activeCell="Q95" sqref="Q95:R99"/>
    </sheetView>
  </sheetViews>
  <sheetFormatPr baseColWidth="10" defaultRowHeight="16" x14ac:dyDescent="0.2"/>
  <cols>
    <col min="5" max="5" width="60.33203125" customWidth="1"/>
  </cols>
  <sheetData>
    <row r="1" spans="1:6" x14ac:dyDescent="0.2">
      <c r="A1" t="s">
        <v>799</v>
      </c>
    </row>
    <row r="2" spans="1:6" x14ac:dyDescent="0.2">
      <c r="A2" t="s">
        <v>798</v>
      </c>
    </row>
    <row r="3" spans="1:6" x14ac:dyDescent="0.2">
      <c r="A3" s="3" t="s">
        <v>186</v>
      </c>
      <c r="E3" t="s">
        <v>800</v>
      </c>
      <c r="F3" t="s">
        <v>810</v>
      </c>
    </row>
    <row r="4" spans="1:6" x14ac:dyDescent="0.2">
      <c r="A4" s="3" t="s">
        <v>189</v>
      </c>
    </row>
    <row r="5" spans="1:6" x14ac:dyDescent="0.2">
      <c r="A5" t="s">
        <v>379</v>
      </c>
      <c r="E5" t="s">
        <v>801</v>
      </c>
    </row>
    <row r="6" spans="1:6" x14ac:dyDescent="0.2">
      <c r="A6" s="3" t="s">
        <v>194</v>
      </c>
    </row>
    <row r="7" spans="1:6" x14ac:dyDescent="0.2">
      <c r="A7" s="3" t="s">
        <v>197</v>
      </c>
      <c r="E7" t="s">
        <v>802</v>
      </c>
    </row>
    <row r="8" spans="1:6" x14ac:dyDescent="0.2">
      <c r="A8" s="3" t="s">
        <v>380</v>
      </c>
    </row>
    <row r="9" spans="1:6" x14ac:dyDescent="0.2">
      <c r="A9" s="3" t="s">
        <v>200</v>
      </c>
      <c r="E9" t="s">
        <v>803</v>
      </c>
    </row>
    <row r="10" spans="1:6" x14ac:dyDescent="0.2">
      <c r="A10" t="s">
        <v>203</v>
      </c>
    </row>
    <row r="11" spans="1:6" x14ac:dyDescent="0.2">
      <c r="A11" t="s">
        <v>563</v>
      </c>
      <c r="E11" t="s">
        <v>804</v>
      </c>
    </row>
    <row r="12" spans="1:6" x14ac:dyDescent="0.2">
      <c r="A12" t="s">
        <v>381</v>
      </c>
    </row>
    <row r="13" spans="1:6" x14ac:dyDescent="0.2">
      <c r="A13" t="s">
        <v>210</v>
      </c>
      <c r="E13" t="s">
        <v>805</v>
      </c>
    </row>
    <row r="14" spans="1:6" x14ac:dyDescent="0.2">
      <c r="A14" s="3" t="s">
        <v>212</v>
      </c>
    </row>
    <row r="15" spans="1:6" x14ac:dyDescent="0.2">
      <c r="A15" s="3" t="s">
        <v>215</v>
      </c>
      <c r="E15" t="s">
        <v>806</v>
      </c>
    </row>
    <row r="16" spans="1:6" x14ac:dyDescent="0.2">
      <c r="A16" t="s">
        <v>218</v>
      </c>
    </row>
    <row r="17" spans="1:21" x14ac:dyDescent="0.2">
      <c r="A17" s="3" t="s">
        <v>221</v>
      </c>
      <c r="E17" t="s">
        <v>807</v>
      </c>
    </row>
    <row r="18" spans="1:21" x14ac:dyDescent="0.2">
      <c r="A18" s="3" t="s">
        <v>224</v>
      </c>
    </row>
    <row r="19" spans="1:21" x14ac:dyDescent="0.2">
      <c r="A19" t="s">
        <v>227</v>
      </c>
      <c r="E19" t="s">
        <v>751</v>
      </c>
    </row>
    <row r="20" spans="1:21" x14ac:dyDescent="0.2">
      <c r="A20" t="s">
        <v>230</v>
      </c>
    </row>
    <row r="21" spans="1:21" x14ac:dyDescent="0.2">
      <c r="A21" s="3" t="s">
        <v>233</v>
      </c>
      <c r="E21" t="s">
        <v>808</v>
      </c>
    </row>
    <row r="22" spans="1:21" x14ac:dyDescent="0.2">
      <c r="A22" s="3" t="s">
        <v>236</v>
      </c>
      <c r="P22" t="s">
        <v>866</v>
      </c>
      <c r="Q22" t="s">
        <v>867</v>
      </c>
      <c r="R22" t="s">
        <v>868</v>
      </c>
      <c r="S22" t="str">
        <f>SUBSTITUTE(Q22," ", "")</f>
        <v>-1000-01-01</v>
      </c>
      <c r="T22" t="str">
        <f>SUBSTITUTE(R22," ", "")</f>
        <v>-0400-12-31</v>
      </c>
      <c r="U22" t="s">
        <v>869</v>
      </c>
    </row>
    <row r="23" spans="1:21" x14ac:dyDescent="0.2">
      <c r="A23" s="3" t="s">
        <v>239</v>
      </c>
      <c r="E23" t="s">
        <v>809</v>
      </c>
      <c r="F23" s="1" t="s">
        <v>820</v>
      </c>
      <c r="G23" s="1" t="s">
        <v>821</v>
      </c>
      <c r="P23" t="s">
        <v>870</v>
      </c>
      <c r="Q23" t="s">
        <v>867</v>
      </c>
      <c r="R23" t="s">
        <v>868</v>
      </c>
      <c r="S23" t="str">
        <f t="shared" ref="S23:S86" si="0">SUBSTITUTE(Q23," ", "")</f>
        <v>-1000-01-01</v>
      </c>
      <c r="T23" t="str">
        <f t="shared" ref="T23:T86" si="1">SUBSTITUTE(R23," ", "")</f>
        <v>-0400-12-31</v>
      </c>
      <c r="U23" t="s">
        <v>871</v>
      </c>
    </row>
    <row r="24" spans="1:21" x14ac:dyDescent="0.2">
      <c r="A24" t="s">
        <v>382</v>
      </c>
      <c r="F24" t="s">
        <v>186</v>
      </c>
      <c r="G24" t="s">
        <v>682</v>
      </c>
      <c r="I24" s="1" t="s">
        <v>820</v>
      </c>
      <c r="J24" s="1" t="s">
        <v>821</v>
      </c>
      <c r="P24" t="s">
        <v>872</v>
      </c>
      <c r="Q24" t="s">
        <v>873</v>
      </c>
      <c r="R24" t="s">
        <v>868</v>
      </c>
      <c r="S24" t="str">
        <f t="shared" si="0"/>
        <v>-0600-01-01</v>
      </c>
      <c r="T24" t="str">
        <f t="shared" si="1"/>
        <v>-0400-12-31</v>
      </c>
      <c r="U24" t="s">
        <v>874</v>
      </c>
    </row>
    <row r="25" spans="1:21" x14ac:dyDescent="0.2">
      <c r="A25" t="s">
        <v>243</v>
      </c>
      <c r="F25" t="s">
        <v>189</v>
      </c>
      <c r="G25" t="s">
        <v>681</v>
      </c>
      <c r="I25" t="s">
        <v>1</v>
      </c>
      <c r="J25" t="s">
        <v>657</v>
      </c>
      <c r="P25" t="s">
        <v>875</v>
      </c>
      <c r="Q25" t="s">
        <v>876</v>
      </c>
      <c r="R25" t="s">
        <v>868</v>
      </c>
      <c r="S25" t="str">
        <f t="shared" si="0"/>
        <v>-0800-01-01</v>
      </c>
      <c r="T25" t="str">
        <f t="shared" si="1"/>
        <v>-0400-12-31</v>
      </c>
      <c r="U25" t="s">
        <v>877</v>
      </c>
    </row>
    <row r="26" spans="1:21" x14ac:dyDescent="0.2">
      <c r="A26" t="s">
        <v>246</v>
      </c>
      <c r="F26" t="s">
        <v>379</v>
      </c>
      <c r="G26" t="s">
        <v>822</v>
      </c>
      <c r="I26" t="s">
        <v>4</v>
      </c>
      <c r="J26" t="s">
        <v>657</v>
      </c>
      <c r="P26" t="s">
        <v>878</v>
      </c>
      <c r="Q26" t="s">
        <v>879</v>
      </c>
      <c r="R26" t="s">
        <v>880</v>
      </c>
      <c r="S26" t="str">
        <f t="shared" si="0"/>
        <v>-0620-01-01</v>
      </c>
      <c r="T26" t="str">
        <f t="shared" si="1"/>
        <v>-0500-12-31</v>
      </c>
      <c r="U26" t="s">
        <v>881</v>
      </c>
    </row>
    <row r="27" spans="1:21" x14ac:dyDescent="0.2">
      <c r="A27" t="s">
        <v>383</v>
      </c>
      <c r="F27" t="s">
        <v>194</v>
      </c>
      <c r="G27" t="s">
        <v>822</v>
      </c>
      <c r="I27" t="s">
        <v>7</v>
      </c>
      <c r="J27" t="s">
        <v>657</v>
      </c>
      <c r="P27" t="s">
        <v>882</v>
      </c>
      <c r="Q27" t="s">
        <v>879</v>
      </c>
      <c r="R27" t="s">
        <v>883</v>
      </c>
      <c r="S27" t="str">
        <f t="shared" si="0"/>
        <v>-0620-01-01</v>
      </c>
      <c r="T27" t="str">
        <f t="shared" si="1"/>
        <v>-0520-12-31</v>
      </c>
      <c r="U27" t="s">
        <v>884</v>
      </c>
    </row>
    <row r="28" spans="1:21" x14ac:dyDescent="0.2">
      <c r="A28" t="s">
        <v>384</v>
      </c>
      <c r="F28" t="s">
        <v>197</v>
      </c>
      <c r="G28" t="s">
        <v>680</v>
      </c>
      <c r="I28" t="s">
        <v>10</v>
      </c>
      <c r="J28" t="s">
        <v>657</v>
      </c>
      <c r="P28" t="s">
        <v>885</v>
      </c>
      <c r="Q28" t="s">
        <v>879</v>
      </c>
      <c r="R28" t="s">
        <v>883</v>
      </c>
      <c r="S28" t="str">
        <f t="shared" si="0"/>
        <v>-0620-01-01</v>
      </c>
      <c r="T28" t="str">
        <f t="shared" si="1"/>
        <v>-0520-12-31</v>
      </c>
      <c r="U28" t="s">
        <v>886</v>
      </c>
    </row>
    <row r="29" spans="1:21" x14ac:dyDescent="0.2">
      <c r="A29" t="s">
        <v>385</v>
      </c>
      <c r="F29" t="s">
        <v>380</v>
      </c>
      <c r="G29" t="s">
        <v>677</v>
      </c>
      <c r="I29" t="s">
        <v>13</v>
      </c>
      <c r="J29" t="s">
        <v>657</v>
      </c>
      <c r="P29" t="s">
        <v>887</v>
      </c>
      <c r="Q29" t="s">
        <v>873</v>
      </c>
      <c r="R29" t="s">
        <v>888</v>
      </c>
      <c r="S29" t="str">
        <f t="shared" si="0"/>
        <v>-0600-01-01</v>
      </c>
      <c r="T29" t="str">
        <f t="shared" si="1"/>
        <v>-0300-12-31</v>
      </c>
      <c r="U29" t="s">
        <v>889</v>
      </c>
    </row>
    <row r="30" spans="1:21" x14ac:dyDescent="0.2">
      <c r="A30" t="s">
        <v>386</v>
      </c>
      <c r="F30" t="s">
        <v>200</v>
      </c>
      <c r="G30" t="s">
        <v>823</v>
      </c>
      <c r="I30" t="s">
        <v>16</v>
      </c>
      <c r="J30" t="s">
        <v>707</v>
      </c>
      <c r="P30" t="s">
        <v>890</v>
      </c>
      <c r="Q30" t="s">
        <v>879</v>
      </c>
      <c r="R30" t="s">
        <v>883</v>
      </c>
      <c r="S30" t="str">
        <f t="shared" si="0"/>
        <v>-0620-01-01</v>
      </c>
      <c r="T30" t="str">
        <f t="shared" si="1"/>
        <v>-0520-12-31</v>
      </c>
      <c r="U30" t="s">
        <v>891</v>
      </c>
    </row>
    <row r="31" spans="1:21" x14ac:dyDescent="0.2">
      <c r="A31" t="s">
        <v>387</v>
      </c>
      <c r="F31" t="s">
        <v>203</v>
      </c>
      <c r="G31" t="s">
        <v>824</v>
      </c>
      <c r="I31" t="s">
        <v>19</v>
      </c>
      <c r="J31" t="s">
        <v>838</v>
      </c>
      <c r="P31" t="s">
        <v>892</v>
      </c>
      <c r="Q31" t="s">
        <v>879</v>
      </c>
      <c r="R31" t="s">
        <v>883</v>
      </c>
      <c r="S31" t="str">
        <f t="shared" si="0"/>
        <v>-0620-01-01</v>
      </c>
      <c r="T31" t="str">
        <f t="shared" si="1"/>
        <v>-0520-12-31</v>
      </c>
      <c r="U31" t="s">
        <v>893</v>
      </c>
    </row>
    <row r="32" spans="1:21" x14ac:dyDescent="0.2">
      <c r="A32" t="s">
        <v>388</v>
      </c>
      <c r="F32" t="s">
        <v>563</v>
      </c>
      <c r="G32" t="s">
        <v>659</v>
      </c>
      <c r="I32" t="s">
        <v>21</v>
      </c>
      <c r="J32" t="s">
        <v>838</v>
      </c>
      <c r="P32" t="s">
        <v>894</v>
      </c>
      <c r="Q32" t="s">
        <v>879</v>
      </c>
      <c r="R32" t="s">
        <v>883</v>
      </c>
      <c r="S32" t="str">
        <f t="shared" si="0"/>
        <v>-0620-01-01</v>
      </c>
      <c r="T32" t="str">
        <f t="shared" si="1"/>
        <v>-0520-12-31</v>
      </c>
      <c r="U32" t="s">
        <v>895</v>
      </c>
    </row>
    <row r="33" spans="1:21" x14ac:dyDescent="0.2">
      <c r="A33" s="3" t="s">
        <v>261</v>
      </c>
      <c r="F33" t="s">
        <v>381</v>
      </c>
      <c r="G33" t="s">
        <v>661</v>
      </c>
      <c r="I33" t="s">
        <v>24</v>
      </c>
      <c r="J33" t="s">
        <v>839</v>
      </c>
      <c r="P33" t="s">
        <v>896</v>
      </c>
      <c r="Q33" t="s">
        <v>879</v>
      </c>
      <c r="R33" t="s">
        <v>883</v>
      </c>
      <c r="S33" t="str">
        <f t="shared" si="0"/>
        <v>-0620-01-01</v>
      </c>
      <c r="T33" t="str">
        <f t="shared" si="1"/>
        <v>-0520-12-31</v>
      </c>
      <c r="U33" t="s">
        <v>897</v>
      </c>
    </row>
    <row r="34" spans="1:21" x14ac:dyDescent="0.2">
      <c r="A34" t="s">
        <v>264</v>
      </c>
      <c r="F34" t="s">
        <v>210</v>
      </c>
      <c r="G34" t="s">
        <v>661</v>
      </c>
      <c r="I34" t="s">
        <v>27</v>
      </c>
      <c r="J34" t="s">
        <v>840</v>
      </c>
      <c r="P34" t="s">
        <v>898</v>
      </c>
      <c r="Q34" t="s">
        <v>899</v>
      </c>
      <c r="R34" t="s">
        <v>888</v>
      </c>
      <c r="S34" t="str">
        <f t="shared" si="0"/>
        <v>-0400-01-01</v>
      </c>
      <c r="T34" t="str">
        <f t="shared" si="1"/>
        <v>-0300-12-31</v>
      </c>
      <c r="U34" t="s">
        <v>900</v>
      </c>
    </row>
    <row r="35" spans="1:21" x14ac:dyDescent="0.2">
      <c r="A35" t="s">
        <v>267</v>
      </c>
      <c r="F35" t="s">
        <v>212</v>
      </c>
      <c r="G35" t="s">
        <v>679</v>
      </c>
      <c r="I35" t="s">
        <v>30</v>
      </c>
      <c r="J35" t="s">
        <v>659</v>
      </c>
      <c r="P35" t="s">
        <v>901</v>
      </c>
      <c r="Q35" t="s">
        <v>899</v>
      </c>
      <c r="R35" t="s">
        <v>888</v>
      </c>
      <c r="S35" t="str">
        <f t="shared" si="0"/>
        <v>-0400-01-01</v>
      </c>
      <c r="T35" t="str">
        <f t="shared" si="1"/>
        <v>-0300-12-31</v>
      </c>
      <c r="U35" t="s">
        <v>902</v>
      </c>
    </row>
    <row r="36" spans="1:21" x14ac:dyDescent="0.2">
      <c r="A36" t="s">
        <v>270</v>
      </c>
      <c r="F36" t="s">
        <v>215</v>
      </c>
      <c r="G36" t="s">
        <v>661</v>
      </c>
      <c r="I36" t="s">
        <v>33</v>
      </c>
      <c r="J36" t="s">
        <v>659</v>
      </c>
      <c r="P36" t="s">
        <v>903</v>
      </c>
      <c r="Q36" t="s">
        <v>904</v>
      </c>
      <c r="R36" t="s">
        <v>905</v>
      </c>
      <c r="S36" t="str">
        <f t="shared" si="0"/>
        <v>-0450-01-01</v>
      </c>
      <c r="T36" t="str">
        <f t="shared" si="1"/>
        <v>-0390-12-31</v>
      </c>
      <c r="U36" t="s">
        <v>906</v>
      </c>
    </row>
    <row r="37" spans="1:21" x14ac:dyDescent="0.2">
      <c r="A37" t="s">
        <v>389</v>
      </c>
      <c r="F37" t="s">
        <v>218</v>
      </c>
      <c r="G37" t="s">
        <v>661</v>
      </c>
      <c r="I37" t="s">
        <v>36</v>
      </c>
      <c r="J37" t="s">
        <v>703</v>
      </c>
      <c r="P37" t="s">
        <v>907</v>
      </c>
      <c r="Q37" t="s">
        <v>908</v>
      </c>
      <c r="R37" t="s">
        <v>905</v>
      </c>
      <c r="S37" t="str">
        <f t="shared" si="0"/>
        <v>-0445-01-01</v>
      </c>
      <c r="T37" t="str">
        <f t="shared" si="1"/>
        <v>-0390-12-31</v>
      </c>
      <c r="U37" t="s">
        <v>909</v>
      </c>
    </row>
    <row r="38" spans="1:21" x14ac:dyDescent="0.2">
      <c r="A38" t="s">
        <v>390</v>
      </c>
      <c r="F38" t="s">
        <v>221</v>
      </c>
      <c r="G38" t="s">
        <v>677</v>
      </c>
      <c r="I38" t="s">
        <v>39</v>
      </c>
      <c r="J38" t="s">
        <v>703</v>
      </c>
      <c r="P38" t="s">
        <v>910</v>
      </c>
      <c r="Q38" t="s">
        <v>899</v>
      </c>
      <c r="R38" t="s">
        <v>911</v>
      </c>
      <c r="S38" t="str">
        <f t="shared" si="0"/>
        <v>-0400-01-01</v>
      </c>
      <c r="T38" t="str">
        <f t="shared" si="1"/>
        <v>-0250-12-31</v>
      </c>
      <c r="U38" t="s">
        <v>912</v>
      </c>
    </row>
    <row r="39" spans="1:21" x14ac:dyDescent="0.2">
      <c r="A39" t="s">
        <v>277</v>
      </c>
      <c r="F39" t="s">
        <v>224</v>
      </c>
      <c r="G39" t="s">
        <v>677</v>
      </c>
      <c r="I39" t="s">
        <v>41</v>
      </c>
      <c r="J39" t="s">
        <v>703</v>
      </c>
      <c r="P39" t="s">
        <v>913</v>
      </c>
      <c r="Q39" t="s">
        <v>914</v>
      </c>
      <c r="R39" t="s">
        <v>888</v>
      </c>
      <c r="S39" t="str">
        <f t="shared" si="0"/>
        <v>-0700-01-01</v>
      </c>
      <c r="T39" t="str">
        <f t="shared" si="1"/>
        <v>-0300-12-31</v>
      </c>
      <c r="U39" t="s">
        <v>915</v>
      </c>
    </row>
    <row r="40" spans="1:21" x14ac:dyDescent="0.2">
      <c r="A40" t="s">
        <v>280</v>
      </c>
      <c r="F40" t="s">
        <v>227</v>
      </c>
      <c r="G40" t="s">
        <v>677</v>
      </c>
      <c r="I40" t="s">
        <v>44</v>
      </c>
      <c r="J40" t="s">
        <v>841</v>
      </c>
      <c r="P40" t="s">
        <v>916</v>
      </c>
      <c r="Q40" t="s">
        <v>867</v>
      </c>
      <c r="R40" t="s">
        <v>917</v>
      </c>
      <c r="S40" t="str">
        <f t="shared" si="0"/>
        <v>-1000-01-01</v>
      </c>
      <c r="T40" t="str">
        <f t="shared" si="1"/>
        <v>-0100-12-31</v>
      </c>
      <c r="U40" t="s">
        <v>918</v>
      </c>
    </row>
    <row r="41" spans="1:21" x14ac:dyDescent="0.2">
      <c r="A41" t="s">
        <v>283</v>
      </c>
      <c r="F41" t="s">
        <v>230</v>
      </c>
      <c r="G41" t="s">
        <v>677</v>
      </c>
      <c r="I41" t="s">
        <v>410</v>
      </c>
      <c r="J41" t="s">
        <v>842</v>
      </c>
      <c r="P41" t="s">
        <v>919</v>
      </c>
      <c r="Q41" t="s">
        <v>920</v>
      </c>
      <c r="R41" t="s">
        <v>888</v>
      </c>
      <c r="S41" t="str">
        <f t="shared" si="0"/>
        <v>-0900-01-01</v>
      </c>
      <c r="T41" t="str">
        <f t="shared" si="1"/>
        <v>-0300-12-31</v>
      </c>
      <c r="U41" t="s">
        <v>921</v>
      </c>
    </row>
    <row r="42" spans="1:21" x14ac:dyDescent="0.2">
      <c r="A42" t="s">
        <v>391</v>
      </c>
      <c r="F42" t="s">
        <v>233</v>
      </c>
      <c r="G42" t="s">
        <v>678</v>
      </c>
      <c r="I42" t="s">
        <v>48</v>
      </c>
      <c r="J42" t="s">
        <v>843</v>
      </c>
      <c r="P42" t="s">
        <v>922</v>
      </c>
      <c r="Q42" t="s">
        <v>923</v>
      </c>
      <c r="R42" t="s">
        <v>924</v>
      </c>
      <c r="S42" t="str">
        <f t="shared" si="0"/>
        <v>-0300-01-01</v>
      </c>
      <c r="T42" t="str">
        <f t="shared" si="1"/>
        <v>-0200-12-31</v>
      </c>
      <c r="U42" t="s">
        <v>925</v>
      </c>
    </row>
    <row r="43" spans="1:21" x14ac:dyDescent="0.2">
      <c r="A43" t="s">
        <v>392</v>
      </c>
      <c r="F43" t="s">
        <v>236</v>
      </c>
      <c r="G43" t="s">
        <v>703</v>
      </c>
      <c r="I43" t="s">
        <v>51</v>
      </c>
      <c r="J43" t="s">
        <v>844</v>
      </c>
      <c r="P43" t="s">
        <v>926</v>
      </c>
      <c r="Q43" t="s">
        <v>914</v>
      </c>
      <c r="R43" t="s">
        <v>924</v>
      </c>
      <c r="S43" t="str">
        <f t="shared" si="0"/>
        <v>-0700-01-01</v>
      </c>
      <c r="T43" t="str">
        <f t="shared" si="1"/>
        <v>-0200-12-31</v>
      </c>
      <c r="U43" t="s">
        <v>927</v>
      </c>
    </row>
    <row r="44" spans="1:21" x14ac:dyDescent="0.2">
      <c r="A44" t="s">
        <v>393</v>
      </c>
      <c r="F44" t="s">
        <v>239</v>
      </c>
      <c r="G44" t="s">
        <v>703</v>
      </c>
      <c r="I44" t="s">
        <v>54</v>
      </c>
      <c r="J44" t="s">
        <v>845</v>
      </c>
      <c r="P44" t="s">
        <v>928</v>
      </c>
      <c r="Q44" t="s">
        <v>929</v>
      </c>
      <c r="R44" t="s">
        <v>868</v>
      </c>
      <c r="S44" t="str">
        <f t="shared" si="0"/>
        <v>-0740-01-01</v>
      </c>
      <c r="T44" t="str">
        <f t="shared" si="1"/>
        <v>-0400-12-31</v>
      </c>
      <c r="U44" t="s">
        <v>930</v>
      </c>
    </row>
    <row r="45" spans="1:21" x14ac:dyDescent="0.2">
      <c r="A45" t="s">
        <v>394</v>
      </c>
      <c r="F45" t="s">
        <v>382</v>
      </c>
      <c r="G45" t="s">
        <v>825</v>
      </c>
      <c r="I45" t="s">
        <v>57</v>
      </c>
      <c r="J45" t="s">
        <v>680</v>
      </c>
      <c r="P45" t="s">
        <v>931</v>
      </c>
      <c r="Q45" t="s">
        <v>932</v>
      </c>
      <c r="R45" t="s">
        <v>933</v>
      </c>
      <c r="S45" t="str">
        <f t="shared" si="0"/>
        <v>-0627-01-01</v>
      </c>
      <c r="T45" t="str">
        <f t="shared" si="1"/>
        <v>-0550-12-31</v>
      </c>
      <c r="U45" t="s">
        <v>934</v>
      </c>
    </row>
    <row r="46" spans="1:21" x14ac:dyDescent="0.2">
      <c r="A46" t="s">
        <v>294</v>
      </c>
      <c r="F46" t="s">
        <v>243</v>
      </c>
      <c r="G46" t="s">
        <v>677</v>
      </c>
      <c r="I46" t="s">
        <v>60</v>
      </c>
      <c r="J46" t="s">
        <v>680</v>
      </c>
      <c r="P46" t="s">
        <v>935</v>
      </c>
      <c r="Q46" t="s">
        <v>936</v>
      </c>
      <c r="R46" t="s">
        <v>883</v>
      </c>
      <c r="S46" t="str">
        <f t="shared" si="0"/>
        <v>-0586-01-01</v>
      </c>
      <c r="T46" t="str">
        <f t="shared" si="1"/>
        <v>-0520-12-31</v>
      </c>
      <c r="U46" t="s">
        <v>937</v>
      </c>
    </row>
    <row r="47" spans="1:21" x14ac:dyDescent="0.2">
      <c r="A47" t="s">
        <v>395</v>
      </c>
      <c r="F47" t="s">
        <v>246</v>
      </c>
      <c r="G47" t="s">
        <v>680</v>
      </c>
      <c r="I47" t="s">
        <v>63</v>
      </c>
      <c r="J47" t="s">
        <v>658</v>
      </c>
      <c r="P47" t="s">
        <v>938</v>
      </c>
      <c r="Q47" t="s">
        <v>939</v>
      </c>
      <c r="R47" t="s">
        <v>940</v>
      </c>
      <c r="S47" t="str">
        <f t="shared" si="0"/>
        <v>-0593-01-01</v>
      </c>
      <c r="T47" t="str">
        <f t="shared" si="1"/>
        <v>-0530-12-31</v>
      </c>
      <c r="U47" t="s">
        <v>941</v>
      </c>
    </row>
    <row r="48" spans="1:21" x14ac:dyDescent="0.2">
      <c r="A48" t="s">
        <v>396</v>
      </c>
      <c r="F48" t="s">
        <v>383</v>
      </c>
      <c r="G48" t="s">
        <v>707</v>
      </c>
      <c r="I48" t="s">
        <v>66</v>
      </c>
      <c r="J48" t="s">
        <v>659</v>
      </c>
      <c r="P48" t="s">
        <v>942</v>
      </c>
      <c r="Q48" t="s">
        <v>943</v>
      </c>
      <c r="R48" t="s">
        <v>944</v>
      </c>
      <c r="S48" t="str">
        <f t="shared" si="0"/>
        <v>-0200-01-01</v>
      </c>
      <c r="T48" t="str">
        <f t="shared" si="1"/>
        <v>-0164-12-31</v>
      </c>
      <c r="U48" t="s">
        <v>945</v>
      </c>
    </row>
    <row r="49" spans="1:21" x14ac:dyDescent="0.2">
      <c r="A49" t="s">
        <v>299</v>
      </c>
      <c r="F49" t="s">
        <v>384</v>
      </c>
      <c r="G49" t="s">
        <v>677</v>
      </c>
      <c r="I49" t="s">
        <v>69</v>
      </c>
      <c r="J49" t="s">
        <v>659</v>
      </c>
      <c r="P49" t="s">
        <v>946</v>
      </c>
      <c r="Q49" t="s">
        <v>947</v>
      </c>
      <c r="R49" t="s">
        <v>880</v>
      </c>
      <c r="S49" t="str">
        <f t="shared" si="0"/>
        <v>-0750-01-01</v>
      </c>
      <c r="T49" t="str">
        <f t="shared" si="1"/>
        <v>-0500-12-31</v>
      </c>
      <c r="U49" t="s">
        <v>948</v>
      </c>
    </row>
    <row r="50" spans="1:21" x14ac:dyDescent="0.2">
      <c r="A50" t="s">
        <v>397</v>
      </c>
      <c r="F50" t="s">
        <v>385</v>
      </c>
      <c r="G50" t="s">
        <v>682</v>
      </c>
      <c r="I50" t="s">
        <v>72</v>
      </c>
      <c r="J50" t="s">
        <v>660</v>
      </c>
      <c r="P50" t="s">
        <v>949</v>
      </c>
      <c r="Q50" t="s">
        <v>950</v>
      </c>
      <c r="R50" t="s">
        <v>888</v>
      </c>
      <c r="S50" t="str">
        <f t="shared" si="0"/>
        <v>-0500-01-01</v>
      </c>
      <c r="T50" t="str">
        <f t="shared" si="1"/>
        <v>-0300-12-31</v>
      </c>
      <c r="U50" t="s">
        <v>951</v>
      </c>
    </row>
    <row r="51" spans="1:21" x14ac:dyDescent="0.2">
      <c r="A51" t="s">
        <v>398</v>
      </c>
      <c r="F51" t="s">
        <v>386</v>
      </c>
      <c r="G51" t="s">
        <v>661</v>
      </c>
      <c r="I51" t="s">
        <v>75</v>
      </c>
      <c r="J51" t="s">
        <v>661</v>
      </c>
      <c r="P51" t="s">
        <v>952</v>
      </c>
      <c r="Q51" t="s">
        <v>953</v>
      </c>
      <c r="R51" t="s">
        <v>880</v>
      </c>
      <c r="S51" t="str">
        <f t="shared" si="0"/>
        <v>-0760-01-01</v>
      </c>
      <c r="T51" t="str">
        <f t="shared" si="1"/>
        <v>-0500-12-31</v>
      </c>
      <c r="U51" t="s">
        <v>954</v>
      </c>
    </row>
    <row r="52" spans="1:21" x14ac:dyDescent="0.2">
      <c r="A52" t="s">
        <v>399</v>
      </c>
      <c r="F52" t="s">
        <v>387</v>
      </c>
      <c r="G52" t="s">
        <v>661</v>
      </c>
      <c r="I52" t="s">
        <v>78</v>
      </c>
      <c r="J52" t="s">
        <v>846</v>
      </c>
      <c r="P52" t="s">
        <v>955</v>
      </c>
      <c r="Q52" t="s">
        <v>936</v>
      </c>
      <c r="R52" t="s">
        <v>956</v>
      </c>
      <c r="S52" t="str">
        <f t="shared" si="0"/>
        <v>-0586-01-01</v>
      </c>
      <c r="T52" t="str">
        <f t="shared" si="1"/>
        <v>-0450-12-31</v>
      </c>
      <c r="U52" t="s">
        <v>957</v>
      </c>
    </row>
    <row r="53" spans="1:21" x14ac:dyDescent="0.2">
      <c r="A53" t="s">
        <v>308</v>
      </c>
      <c r="F53" t="s">
        <v>388</v>
      </c>
      <c r="G53" t="s">
        <v>661</v>
      </c>
      <c r="I53" t="s">
        <v>80</v>
      </c>
      <c r="J53" t="s">
        <v>847</v>
      </c>
      <c r="P53" t="s">
        <v>958</v>
      </c>
      <c r="Q53" t="s">
        <v>899</v>
      </c>
      <c r="R53" t="s">
        <v>911</v>
      </c>
      <c r="S53" t="str">
        <f t="shared" si="0"/>
        <v>-0400-01-01</v>
      </c>
      <c r="T53" t="str">
        <f t="shared" si="1"/>
        <v>-0250-12-31</v>
      </c>
      <c r="U53" t="s">
        <v>959</v>
      </c>
    </row>
    <row r="54" spans="1:21" x14ac:dyDescent="0.2">
      <c r="A54" t="s">
        <v>310</v>
      </c>
      <c r="F54" t="s">
        <v>261</v>
      </c>
      <c r="G54" t="s">
        <v>663</v>
      </c>
      <c r="I54" t="s">
        <v>82</v>
      </c>
      <c r="J54" t="s">
        <v>848</v>
      </c>
      <c r="P54" t="s">
        <v>960</v>
      </c>
      <c r="Q54" t="s">
        <v>961</v>
      </c>
      <c r="R54" t="s">
        <v>880</v>
      </c>
      <c r="S54" t="str">
        <f t="shared" si="0"/>
        <v>-0737-01-01</v>
      </c>
      <c r="T54" t="str">
        <f t="shared" si="1"/>
        <v>-0500-12-31</v>
      </c>
      <c r="U54" t="s">
        <v>962</v>
      </c>
    </row>
    <row r="55" spans="1:21" x14ac:dyDescent="0.2">
      <c r="A55" t="s">
        <v>311</v>
      </c>
      <c r="F55" t="s">
        <v>264</v>
      </c>
      <c r="G55" t="s">
        <v>703</v>
      </c>
      <c r="I55" t="s">
        <v>85</v>
      </c>
      <c r="J55" t="s">
        <v>849</v>
      </c>
      <c r="P55" t="s">
        <v>963</v>
      </c>
      <c r="Q55" t="s">
        <v>964</v>
      </c>
      <c r="R55" t="s">
        <v>965</v>
      </c>
      <c r="S55" t="str">
        <f t="shared" si="0"/>
        <v>-0650-01-01</v>
      </c>
      <c r="T55" t="str">
        <f t="shared" si="1"/>
        <v>-0612-12-31</v>
      </c>
      <c r="U55" t="s">
        <v>966</v>
      </c>
    </row>
    <row r="56" spans="1:21" x14ac:dyDescent="0.2">
      <c r="A56" t="s">
        <v>312</v>
      </c>
      <c r="F56" t="s">
        <v>267</v>
      </c>
      <c r="G56" t="s">
        <v>703</v>
      </c>
      <c r="I56" t="s">
        <v>87</v>
      </c>
      <c r="J56" t="s">
        <v>850</v>
      </c>
      <c r="P56" t="s">
        <v>967</v>
      </c>
      <c r="Q56" t="s">
        <v>968</v>
      </c>
      <c r="R56" t="s">
        <v>969</v>
      </c>
      <c r="S56" t="str">
        <f t="shared" si="0"/>
        <v>-0625-01-01</v>
      </c>
      <c r="T56" t="str">
        <f t="shared" si="1"/>
        <v>-0587-12-31</v>
      </c>
      <c r="U56" t="s">
        <v>970</v>
      </c>
    </row>
    <row r="57" spans="1:21" x14ac:dyDescent="0.2">
      <c r="A57" t="s">
        <v>313</v>
      </c>
      <c r="F57" t="s">
        <v>270</v>
      </c>
      <c r="G57" t="s">
        <v>703</v>
      </c>
      <c r="I57" t="s">
        <v>90</v>
      </c>
      <c r="J57" t="s">
        <v>851</v>
      </c>
      <c r="P57" t="s">
        <v>971</v>
      </c>
      <c r="Q57" t="s">
        <v>972</v>
      </c>
      <c r="R57" t="s">
        <v>973</v>
      </c>
      <c r="S57" t="str">
        <f t="shared" si="0"/>
        <v>-0630-01-01</v>
      </c>
      <c r="T57" t="str">
        <f t="shared" si="1"/>
        <v>-0625-12-31</v>
      </c>
      <c r="U57" t="s">
        <v>974</v>
      </c>
    </row>
    <row r="58" spans="1:21" x14ac:dyDescent="0.2">
      <c r="A58" t="s">
        <v>314</v>
      </c>
      <c r="F58" t="s">
        <v>389</v>
      </c>
      <c r="G58" t="s">
        <v>680</v>
      </c>
      <c r="I58" t="s">
        <v>93</v>
      </c>
      <c r="J58" t="s">
        <v>852</v>
      </c>
      <c r="P58" t="s">
        <v>975</v>
      </c>
      <c r="Q58" t="s">
        <v>976</v>
      </c>
      <c r="R58" t="s">
        <v>977</v>
      </c>
      <c r="S58" t="str">
        <f t="shared" si="0"/>
        <v>-0520-01-01</v>
      </c>
      <c r="T58" t="str">
        <f t="shared" si="1"/>
        <v>-0519-12-31</v>
      </c>
      <c r="U58" t="s">
        <v>978</v>
      </c>
    </row>
    <row r="59" spans="1:21" x14ac:dyDescent="0.2">
      <c r="A59" t="s">
        <v>315</v>
      </c>
      <c r="F59" t="s">
        <v>390</v>
      </c>
      <c r="G59" t="s">
        <v>659</v>
      </c>
      <c r="I59" t="s">
        <v>96</v>
      </c>
      <c r="J59" t="s">
        <v>853</v>
      </c>
      <c r="P59" t="s">
        <v>979</v>
      </c>
      <c r="Q59" t="s">
        <v>976</v>
      </c>
      <c r="R59" t="s">
        <v>980</v>
      </c>
      <c r="S59" t="str">
        <f t="shared" si="0"/>
        <v>-0520-01-01</v>
      </c>
      <c r="T59" t="str">
        <f t="shared" si="1"/>
        <v>-0440-12-31</v>
      </c>
      <c r="U59" t="s">
        <v>981</v>
      </c>
    </row>
    <row r="60" spans="1:21" x14ac:dyDescent="0.2">
      <c r="A60" t="s">
        <v>316</v>
      </c>
      <c r="F60" t="s">
        <v>277</v>
      </c>
      <c r="G60" t="s">
        <v>704</v>
      </c>
      <c r="I60" t="s">
        <v>99</v>
      </c>
      <c r="J60" t="s">
        <v>854</v>
      </c>
      <c r="P60" t="s">
        <v>982</v>
      </c>
      <c r="Q60" t="s">
        <v>904</v>
      </c>
      <c r="R60" t="s">
        <v>868</v>
      </c>
      <c r="S60" t="str">
        <f t="shared" si="0"/>
        <v>-0450-01-01</v>
      </c>
      <c r="T60" t="str">
        <f t="shared" si="1"/>
        <v>-0400-12-31</v>
      </c>
      <c r="U60" t="s">
        <v>983</v>
      </c>
    </row>
    <row r="61" spans="1:21" x14ac:dyDescent="0.2">
      <c r="A61" t="s">
        <v>317</v>
      </c>
      <c r="F61" t="s">
        <v>280</v>
      </c>
      <c r="G61" t="s">
        <v>657</v>
      </c>
      <c r="I61" t="s">
        <v>102</v>
      </c>
      <c r="J61" t="s">
        <v>855</v>
      </c>
      <c r="P61" t="s">
        <v>984</v>
      </c>
      <c r="Q61" t="s">
        <v>985</v>
      </c>
      <c r="R61" t="s">
        <v>986</v>
      </c>
      <c r="S61" t="str">
        <f t="shared" si="0"/>
        <v>0070-01-01</v>
      </c>
      <c r="T61" t="str">
        <f t="shared" si="1"/>
        <v>0100-12-31</v>
      </c>
      <c r="U61" t="s">
        <v>987</v>
      </c>
    </row>
    <row r="62" spans="1:21" x14ac:dyDescent="0.2">
      <c r="A62" t="s">
        <v>318</v>
      </c>
      <c r="F62" t="s">
        <v>283</v>
      </c>
      <c r="G62" t="s">
        <v>824</v>
      </c>
      <c r="I62" t="s">
        <v>105</v>
      </c>
      <c r="J62" t="s">
        <v>856</v>
      </c>
      <c r="P62" t="s">
        <v>988</v>
      </c>
      <c r="Q62" t="s">
        <v>989</v>
      </c>
      <c r="R62" t="s">
        <v>990</v>
      </c>
      <c r="S62" t="str">
        <f t="shared" si="0"/>
        <v>0065-01-01</v>
      </c>
      <c r="T62" t="str">
        <f t="shared" si="1"/>
        <v>0075-12-31</v>
      </c>
      <c r="U62" t="s">
        <v>991</v>
      </c>
    </row>
    <row r="63" spans="1:21" x14ac:dyDescent="0.2">
      <c r="A63" t="s">
        <v>319</v>
      </c>
      <c r="F63" t="s">
        <v>391</v>
      </c>
      <c r="G63" t="s">
        <v>826</v>
      </c>
      <c r="I63" t="s">
        <v>108</v>
      </c>
      <c r="J63" t="s">
        <v>857</v>
      </c>
      <c r="P63" t="s">
        <v>992</v>
      </c>
      <c r="Q63" t="s">
        <v>993</v>
      </c>
      <c r="R63" t="s">
        <v>994</v>
      </c>
      <c r="S63" t="str">
        <f t="shared" si="0"/>
        <v>0080-01-01</v>
      </c>
      <c r="T63" t="str">
        <f t="shared" si="1"/>
        <v>0110-12-31</v>
      </c>
      <c r="U63" t="s">
        <v>995</v>
      </c>
    </row>
    <row r="64" spans="1:21" x14ac:dyDescent="0.2">
      <c r="A64" t="s">
        <v>320</v>
      </c>
      <c r="F64" t="s">
        <v>392</v>
      </c>
      <c r="G64" t="s">
        <v>826</v>
      </c>
      <c r="I64" t="s">
        <v>111</v>
      </c>
      <c r="J64" t="s">
        <v>858</v>
      </c>
      <c r="P64" t="s">
        <v>996</v>
      </c>
      <c r="Q64" t="s">
        <v>997</v>
      </c>
      <c r="R64" t="s">
        <v>994</v>
      </c>
      <c r="S64" t="str">
        <f t="shared" si="0"/>
        <v>0090-01-01</v>
      </c>
      <c r="T64" t="str">
        <f t="shared" si="1"/>
        <v>0110-12-31</v>
      </c>
      <c r="U64" t="s">
        <v>998</v>
      </c>
    </row>
    <row r="65" spans="1:21" x14ac:dyDescent="0.2">
      <c r="A65" t="s">
        <v>321</v>
      </c>
      <c r="F65" t="s">
        <v>393</v>
      </c>
      <c r="G65" t="s">
        <v>826</v>
      </c>
      <c r="I65" t="s">
        <v>113</v>
      </c>
      <c r="J65" t="s">
        <v>859</v>
      </c>
      <c r="P65" t="s">
        <v>999</v>
      </c>
      <c r="Q65" t="s">
        <v>993</v>
      </c>
      <c r="R65" t="s">
        <v>994</v>
      </c>
      <c r="S65" t="str">
        <f t="shared" si="0"/>
        <v>0080-01-01</v>
      </c>
      <c r="T65" t="str">
        <f t="shared" si="1"/>
        <v>0110-12-31</v>
      </c>
      <c r="U65" t="s">
        <v>1000</v>
      </c>
    </row>
    <row r="66" spans="1:21" x14ac:dyDescent="0.2">
      <c r="A66" t="s">
        <v>322</v>
      </c>
      <c r="F66" t="s">
        <v>394</v>
      </c>
      <c r="G66" t="s">
        <v>677</v>
      </c>
      <c r="I66" t="s">
        <v>115</v>
      </c>
      <c r="J66" t="s">
        <v>860</v>
      </c>
      <c r="P66" t="s">
        <v>1001</v>
      </c>
      <c r="Q66" t="s">
        <v>1002</v>
      </c>
      <c r="R66" t="s">
        <v>1003</v>
      </c>
      <c r="S66" t="str">
        <f t="shared" si="0"/>
        <v>0056-01-01</v>
      </c>
      <c r="T66" t="str">
        <f t="shared" si="1"/>
        <v>0058-12-31</v>
      </c>
      <c r="U66" t="s">
        <v>1004</v>
      </c>
    </row>
    <row r="67" spans="1:21" x14ac:dyDescent="0.2">
      <c r="A67" t="s">
        <v>324</v>
      </c>
      <c r="F67" t="s">
        <v>294</v>
      </c>
      <c r="G67" t="s">
        <v>659</v>
      </c>
      <c r="I67" t="s">
        <v>117</v>
      </c>
      <c r="J67" t="s">
        <v>706</v>
      </c>
      <c r="P67" t="s">
        <v>1005</v>
      </c>
      <c r="Q67" t="s">
        <v>1006</v>
      </c>
      <c r="R67" t="s">
        <v>1007</v>
      </c>
      <c r="S67" t="str">
        <f t="shared" si="0"/>
        <v>0053-01-01</v>
      </c>
      <c r="T67" t="str">
        <f t="shared" si="1"/>
        <v>0055-12-31</v>
      </c>
      <c r="U67" t="s">
        <v>1008</v>
      </c>
    </row>
    <row r="68" spans="1:21" x14ac:dyDescent="0.2">
      <c r="A68" t="s">
        <v>400</v>
      </c>
      <c r="F68" t="s">
        <v>395</v>
      </c>
      <c r="G68" t="s">
        <v>697</v>
      </c>
      <c r="I68" t="s">
        <v>119</v>
      </c>
      <c r="J68" t="s">
        <v>860</v>
      </c>
      <c r="P68" t="s">
        <v>1009</v>
      </c>
      <c r="Q68" t="s">
        <v>1010</v>
      </c>
      <c r="R68" t="s">
        <v>1011</v>
      </c>
      <c r="S68" t="str">
        <f t="shared" si="0"/>
        <v>0055-01-01</v>
      </c>
      <c r="T68" t="str">
        <f t="shared" si="1"/>
        <v>0057-12-31</v>
      </c>
      <c r="U68" t="s">
        <v>1012</v>
      </c>
    </row>
    <row r="69" spans="1:21" x14ac:dyDescent="0.2">
      <c r="A69" t="s">
        <v>329</v>
      </c>
      <c r="F69" t="s">
        <v>396</v>
      </c>
      <c r="G69" t="s">
        <v>827</v>
      </c>
      <c r="I69" t="s">
        <v>122</v>
      </c>
      <c r="J69" t="s">
        <v>663</v>
      </c>
      <c r="P69" t="s">
        <v>1013</v>
      </c>
      <c r="Q69" t="s">
        <v>1014</v>
      </c>
      <c r="R69" t="s">
        <v>1007</v>
      </c>
      <c r="S69" t="str">
        <f t="shared" si="0"/>
        <v>0048-01-01</v>
      </c>
      <c r="T69" t="str">
        <f t="shared" si="1"/>
        <v>0055-12-31</v>
      </c>
      <c r="U69" t="s">
        <v>1015</v>
      </c>
    </row>
    <row r="70" spans="1:21" x14ac:dyDescent="0.2">
      <c r="A70" t="s">
        <v>401</v>
      </c>
      <c r="F70" t="s">
        <v>299</v>
      </c>
      <c r="G70" t="s">
        <v>663</v>
      </c>
      <c r="I70" t="s">
        <v>125</v>
      </c>
      <c r="J70" t="s">
        <v>663</v>
      </c>
      <c r="P70" t="s">
        <v>1016</v>
      </c>
      <c r="Q70" t="s">
        <v>1017</v>
      </c>
      <c r="R70" t="s">
        <v>986</v>
      </c>
      <c r="S70" t="str">
        <f t="shared" si="0"/>
        <v>0060-01-01</v>
      </c>
      <c r="T70" t="str">
        <f t="shared" si="1"/>
        <v>0100-12-31</v>
      </c>
      <c r="U70" t="s">
        <v>1018</v>
      </c>
    </row>
    <row r="71" spans="1:21" x14ac:dyDescent="0.2">
      <c r="A71" t="s">
        <v>333</v>
      </c>
      <c r="F71" t="s">
        <v>397</v>
      </c>
      <c r="G71" t="s">
        <v>823</v>
      </c>
      <c r="I71" t="s">
        <v>128</v>
      </c>
      <c r="J71" t="s">
        <v>663</v>
      </c>
      <c r="P71" t="s">
        <v>1019</v>
      </c>
      <c r="Q71" t="s">
        <v>1020</v>
      </c>
      <c r="R71" t="s">
        <v>1021</v>
      </c>
      <c r="S71" t="str">
        <f t="shared" si="0"/>
        <v>0054-01-01</v>
      </c>
      <c r="T71" t="str">
        <f t="shared" si="1"/>
        <v>0062-12-31</v>
      </c>
      <c r="U71" t="s">
        <v>1022</v>
      </c>
    </row>
    <row r="72" spans="1:21" x14ac:dyDescent="0.2">
      <c r="A72" t="s">
        <v>336</v>
      </c>
      <c r="F72" t="s">
        <v>398</v>
      </c>
      <c r="G72" t="s">
        <v>705</v>
      </c>
      <c r="I72" t="s">
        <v>131</v>
      </c>
      <c r="J72" t="s">
        <v>663</v>
      </c>
      <c r="P72" t="s">
        <v>1023</v>
      </c>
      <c r="Q72" t="s">
        <v>1017</v>
      </c>
      <c r="R72" t="s">
        <v>1024</v>
      </c>
      <c r="S72" t="str">
        <f t="shared" si="0"/>
        <v>0060-01-01</v>
      </c>
      <c r="T72" t="str">
        <f t="shared" si="1"/>
        <v>0090-12-31</v>
      </c>
      <c r="U72" t="s">
        <v>1025</v>
      </c>
    </row>
    <row r="73" spans="1:21" x14ac:dyDescent="0.2">
      <c r="A73" t="s">
        <v>339</v>
      </c>
      <c r="F73" t="s">
        <v>399</v>
      </c>
      <c r="G73" t="s">
        <v>706</v>
      </c>
      <c r="I73" t="s">
        <v>134</v>
      </c>
      <c r="J73" t="s">
        <v>663</v>
      </c>
      <c r="P73" t="s">
        <v>1026</v>
      </c>
      <c r="Q73" t="s">
        <v>1027</v>
      </c>
      <c r="R73" t="s">
        <v>1028</v>
      </c>
      <c r="S73" t="str">
        <f t="shared" si="0"/>
        <v>0049-01-01</v>
      </c>
      <c r="T73" t="str">
        <f t="shared" si="1"/>
        <v>0051-12-31</v>
      </c>
      <c r="U73" t="s">
        <v>1029</v>
      </c>
    </row>
    <row r="74" spans="1:21" x14ac:dyDescent="0.2">
      <c r="A74" t="s">
        <v>341</v>
      </c>
      <c r="F74" t="s">
        <v>308</v>
      </c>
      <c r="G74" t="s">
        <v>828</v>
      </c>
      <c r="I74" t="s">
        <v>137</v>
      </c>
      <c r="J74" t="s">
        <v>663</v>
      </c>
      <c r="P74" t="s">
        <v>1030</v>
      </c>
      <c r="Q74" t="s">
        <v>1031</v>
      </c>
      <c r="R74" t="s">
        <v>986</v>
      </c>
      <c r="S74" t="str">
        <f t="shared" si="0"/>
        <v>0050-01-01</v>
      </c>
      <c r="T74" t="str">
        <f t="shared" si="1"/>
        <v>0100-12-31</v>
      </c>
      <c r="U74" t="s">
        <v>1032</v>
      </c>
    </row>
    <row r="75" spans="1:21" x14ac:dyDescent="0.2">
      <c r="A75" t="s">
        <v>343</v>
      </c>
      <c r="F75" t="s">
        <v>310</v>
      </c>
      <c r="G75" t="s">
        <v>829</v>
      </c>
      <c r="I75" t="s">
        <v>140</v>
      </c>
      <c r="J75" t="s">
        <v>663</v>
      </c>
      <c r="P75" t="s">
        <v>1033</v>
      </c>
      <c r="Q75" t="s">
        <v>989</v>
      </c>
      <c r="R75" t="s">
        <v>994</v>
      </c>
      <c r="S75" t="str">
        <f t="shared" si="0"/>
        <v>0065-01-01</v>
      </c>
      <c r="T75" t="str">
        <f t="shared" si="1"/>
        <v>0110-12-31</v>
      </c>
      <c r="U75" t="s">
        <v>1034</v>
      </c>
    </row>
    <row r="76" spans="1:21" x14ac:dyDescent="0.2">
      <c r="A76" t="s">
        <v>345</v>
      </c>
      <c r="F76" t="s">
        <v>311</v>
      </c>
      <c r="G76" t="s">
        <v>684</v>
      </c>
      <c r="I76" t="s">
        <v>143</v>
      </c>
      <c r="J76" t="s">
        <v>663</v>
      </c>
      <c r="P76" t="s">
        <v>1035</v>
      </c>
      <c r="Q76" t="s">
        <v>989</v>
      </c>
      <c r="R76" t="s">
        <v>994</v>
      </c>
      <c r="S76" t="str">
        <f t="shared" si="0"/>
        <v>0065-01-01</v>
      </c>
      <c r="T76" t="str">
        <f t="shared" si="1"/>
        <v>0110-12-31</v>
      </c>
      <c r="U76" t="s">
        <v>1036</v>
      </c>
    </row>
    <row r="77" spans="1:21" x14ac:dyDescent="0.2">
      <c r="A77" t="s">
        <v>347</v>
      </c>
      <c r="F77" t="s">
        <v>312</v>
      </c>
      <c r="G77" t="s">
        <v>685</v>
      </c>
      <c r="I77" t="s">
        <v>146</v>
      </c>
      <c r="J77" t="s">
        <v>663</v>
      </c>
      <c r="P77" t="s">
        <v>1037</v>
      </c>
      <c r="Q77" t="s">
        <v>989</v>
      </c>
      <c r="R77" t="s">
        <v>994</v>
      </c>
      <c r="S77" t="str">
        <f t="shared" si="0"/>
        <v>0065-01-01</v>
      </c>
      <c r="T77" t="str">
        <f t="shared" si="1"/>
        <v>0110-12-31</v>
      </c>
      <c r="U77" t="s">
        <v>1036</v>
      </c>
    </row>
    <row r="78" spans="1:21" x14ac:dyDescent="0.2">
      <c r="A78" t="s">
        <v>349</v>
      </c>
      <c r="F78" t="s">
        <v>313</v>
      </c>
      <c r="G78" t="s">
        <v>686</v>
      </c>
      <c r="I78" t="s">
        <v>149</v>
      </c>
      <c r="J78" t="s">
        <v>663</v>
      </c>
      <c r="P78" t="s">
        <v>1038</v>
      </c>
      <c r="Q78" t="s">
        <v>1020</v>
      </c>
      <c r="R78" t="s">
        <v>1021</v>
      </c>
      <c r="S78" t="str">
        <f t="shared" si="0"/>
        <v>0054-01-01</v>
      </c>
      <c r="T78" t="str">
        <f t="shared" si="1"/>
        <v>0062-12-31</v>
      </c>
      <c r="U78" t="s">
        <v>1039</v>
      </c>
    </row>
    <row r="79" spans="1:21" x14ac:dyDescent="0.2">
      <c r="A79" t="s">
        <v>351</v>
      </c>
      <c r="F79" t="s">
        <v>314</v>
      </c>
      <c r="G79" t="s">
        <v>687</v>
      </c>
      <c r="I79" t="s">
        <v>152</v>
      </c>
      <c r="J79" t="s">
        <v>663</v>
      </c>
      <c r="P79" t="s">
        <v>1040</v>
      </c>
      <c r="Q79" t="s">
        <v>1017</v>
      </c>
      <c r="R79" t="s">
        <v>1041</v>
      </c>
      <c r="S79" t="str">
        <f t="shared" si="0"/>
        <v>0060-01-01</v>
      </c>
      <c r="T79" t="str">
        <f t="shared" si="1"/>
        <v>0095-12-31</v>
      </c>
      <c r="U79" t="s">
        <v>1042</v>
      </c>
    </row>
    <row r="80" spans="1:21" x14ac:dyDescent="0.2">
      <c r="A80" t="s">
        <v>353</v>
      </c>
      <c r="F80" t="s">
        <v>315</v>
      </c>
      <c r="G80" t="s">
        <v>688</v>
      </c>
      <c r="I80" t="s">
        <v>154</v>
      </c>
      <c r="J80" t="s">
        <v>663</v>
      </c>
      <c r="P80" t="s">
        <v>1043</v>
      </c>
      <c r="Q80" t="s">
        <v>1014</v>
      </c>
      <c r="R80" t="s">
        <v>994</v>
      </c>
      <c r="S80" t="str">
        <f t="shared" si="0"/>
        <v>0048-01-01</v>
      </c>
      <c r="T80" t="str">
        <f t="shared" si="1"/>
        <v>0110-12-31</v>
      </c>
      <c r="U80" t="s">
        <v>1044</v>
      </c>
    </row>
    <row r="81" spans="1:21" x14ac:dyDescent="0.2">
      <c r="A81" t="s">
        <v>355</v>
      </c>
      <c r="F81" t="s">
        <v>316</v>
      </c>
      <c r="G81" t="s">
        <v>689</v>
      </c>
      <c r="I81" t="s">
        <v>157</v>
      </c>
      <c r="J81" t="s">
        <v>663</v>
      </c>
      <c r="P81" t="s">
        <v>1045</v>
      </c>
      <c r="Q81" t="s">
        <v>1017</v>
      </c>
      <c r="R81" t="s">
        <v>1024</v>
      </c>
      <c r="S81" t="str">
        <f t="shared" si="0"/>
        <v>0060-01-01</v>
      </c>
      <c r="T81" t="str">
        <f t="shared" si="1"/>
        <v>0090-12-31</v>
      </c>
      <c r="U81" t="s">
        <v>1046</v>
      </c>
    </row>
    <row r="82" spans="1:21" x14ac:dyDescent="0.2">
      <c r="A82" s="3" t="s">
        <v>357</v>
      </c>
      <c r="F82" t="s">
        <v>317</v>
      </c>
      <c r="G82" t="s">
        <v>690</v>
      </c>
      <c r="I82" t="s">
        <v>160</v>
      </c>
      <c r="J82" t="s">
        <v>677</v>
      </c>
      <c r="P82" t="s">
        <v>1047</v>
      </c>
      <c r="Q82" t="s">
        <v>993</v>
      </c>
      <c r="R82" t="s">
        <v>1048</v>
      </c>
      <c r="S82" t="str">
        <f t="shared" si="0"/>
        <v>0080-01-01</v>
      </c>
      <c r="T82" t="str">
        <f t="shared" si="1"/>
        <v>0150-12-31</v>
      </c>
      <c r="U82" t="s">
        <v>1049</v>
      </c>
    </row>
    <row r="83" spans="1:21" x14ac:dyDescent="0.2">
      <c r="A83" t="s">
        <v>360</v>
      </c>
      <c r="F83" t="s">
        <v>318</v>
      </c>
      <c r="G83" t="s">
        <v>691</v>
      </c>
      <c r="I83" t="s">
        <v>163</v>
      </c>
      <c r="J83" t="s">
        <v>667</v>
      </c>
      <c r="P83" t="s">
        <v>1050</v>
      </c>
      <c r="Q83" t="s">
        <v>997</v>
      </c>
      <c r="R83" t="s">
        <v>994</v>
      </c>
      <c r="S83" t="str">
        <f t="shared" si="0"/>
        <v>0090-01-01</v>
      </c>
      <c r="T83" t="str">
        <f t="shared" si="1"/>
        <v>0110-12-31</v>
      </c>
      <c r="U83" t="s">
        <v>1051</v>
      </c>
    </row>
    <row r="84" spans="1:21" x14ac:dyDescent="0.2">
      <c r="A84" t="s">
        <v>411</v>
      </c>
      <c r="F84" t="s">
        <v>319</v>
      </c>
      <c r="G84" t="s">
        <v>692</v>
      </c>
      <c r="I84" t="s">
        <v>166</v>
      </c>
      <c r="J84" t="s">
        <v>668</v>
      </c>
      <c r="P84" t="s">
        <v>1052</v>
      </c>
      <c r="Q84" t="s">
        <v>997</v>
      </c>
      <c r="R84" t="s">
        <v>994</v>
      </c>
      <c r="S84" t="str">
        <f t="shared" si="0"/>
        <v>0090-01-01</v>
      </c>
      <c r="T84" t="str">
        <f t="shared" si="1"/>
        <v>0110-12-31</v>
      </c>
      <c r="U84" t="s">
        <v>1053</v>
      </c>
    </row>
    <row r="85" spans="1:21" x14ac:dyDescent="0.2">
      <c r="A85" t="s">
        <v>364</v>
      </c>
      <c r="F85" t="s">
        <v>320</v>
      </c>
      <c r="G85" t="s">
        <v>693</v>
      </c>
      <c r="I85" t="s">
        <v>169</v>
      </c>
      <c r="J85" t="s">
        <v>668</v>
      </c>
      <c r="P85" t="s">
        <v>1054</v>
      </c>
      <c r="Q85" t="s">
        <v>997</v>
      </c>
      <c r="R85" t="s">
        <v>994</v>
      </c>
      <c r="S85" t="str">
        <f t="shared" si="0"/>
        <v>0090-01-01</v>
      </c>
      <c r="T85" t="str">
        <f t="shared" si="1"/>
        <v>0110-12-31</v>
      </c>
      <c r="U85" t="s">
        <v>1053</v>
      </c>
    </row>
    <row r="86" spans="1:21" x14ac:dyDescent="0.2">
      <c r="A86" t="s">
        <v>366</v>
      </c>
      <c r="F86" t="s">
        <v>321</v>
      </c>
      <c r="G86" t="s">
        <v>694</v>
      </c>
      <c r="I86" t="s">
        <v>172</v>
      </c>
      <c r="J86" t="s">
        <v>706</v>
      </c>
      <c r="P86" t="s">
        <v>1055</v>
      </c>
      <c r="Q86" t="s">
        <v>1017</v>
      </c>
      <c r="R86" t="s">
        <v>994</v>
      </c>
      <c r="S86" t="str">
        <f t="shared" si="0"/>
        <v>0060-01-01</v>
      </c>
      <c r="T86" t="str">
        <f t="shared" si="1"/>
        <v>0110-12-31</v>
      </c>
      <c r="U86" t="s">
        <v>1056</v>
      </c>
    </row>
    <row r="87" spans="1:21" x14ac:dyDescent="0.2">
      <c r="A87" t="s">
        <v>368</v>
      </c>
      <c r="F87" t="s">
        <v>322</v>
      </c>
      <c r="G87" t="s">
        <v>695</v>
      </c>
      <c r="I87" t="s">
        <v>175</v>
      </c>
      <c r="J87" t="s">
        <v>706</v>
      </c>
      <c r="P87" t="s">
        <v>1057</v>
      </c>
      <c r="Q87" t="s">
        <v>1058</v>
      </c>
      <c r="R87" t="s">
        <v>1059</v>
      </c>
      <c r="S87" t="str">
        <f t="shared" ref="S87:T87" si="2">SUBSTITUTE(Q87," ", "")</f>
        <v>0068-01-01</v>
      </c>
      <c r="T87" t="str">
        <f t="shared" si="2"/>
        <v>0096-12-31</v>
      </c>
      <c r="U87" t="s">
        <v>1060</v>
      </c>
    </row>
    <row r="88" spans="1:21" x14ac:dyDescent="0.2">
      <c r="A88" t="s">
        <v>370</v>
      </c>
      <c r="F88" t="s">
        <v>324</v>
      </c>
      <c r="G88" t="s">
        <v>696</v>
      </c>
      <c r="I88" t="s">
        <v>178</v>
      </c>
      <c r="J88" t="s">
        <v>706</v>
      </c>
    </row>
    <row r="89" spans="1:21" x14ac:dyDescent="0.2">
      <c r="A89" t="s">
        <v>798</v>
      </c>
      <c r="F89" t="s">
        <v>400</v>
      </c>
      <c r="G89" t="s">
        <v>696</v>
      </c>
      <c r="I89" t="s">
        <v>180</v>
      </c>
      <c r="J89" t="s">
        <v>683</v>
      </c>
    </row>
    <row r="90" spans="1:21" x14ac:dyDescent="0.2">
      <c r="F90" t="s">
        <v>329</v>
      </c>
      <c r="G90" t="s">
        <v>825</v>
      </c>
      <c r="I90" t="s">
        <v>183</v>
      </c>
      <c r="J90" t="s">
        <v>706</v>
      </c>
    </row>
    <row r="91" spans="1:21" x14ac:dyDescent="0.2">
      <c r="F91" t="s">
        <v>401</v>
      </c>
      <c r="G91" t="s">
        <v>697</v>
      </c>
    </row>
    <row r="92" spans="1:21" x14ac:dyDescent="0.2">
      <c r="F92" t="s">
        <v>333</v>
      </c>
      <c r="G92" t="s">
        <v>830</v>
      </c>
    </row>
    <row r="93" spans="1:21" x14ac:dyDescent="0.2">
      <c r="F93" t="s">
        <v>336</v>
      </c>
      <c r="G93" t="s">
        <v>830</v>
      </c>
    </row>
    <row r="94" spans="1:21" x14ac:dyDescent="0.2">
      <c r="F94" t="s">
        <v>339</v>
      </c>
      <c r="G94" t="s">
        <v>831</v>
      </c>
      <c r="P94" s="1" t="s">
        <v>1210</v>
      </c>
      <c r="Q94" s="1" t="s">
        <v>1211</v>
      </c>
      <c r="R94" s="1" t="s">
        <v>1212</v>
      </c>
    </row>
    <row r="95" spans="1:21" x14ac:dyDescent="0.2">
      <c r="F95" t="s">
        <v>341</v>
      </c>
      <c r="G95" t="s">
        <v>831</v>
      </c>
      <c r="P95" t="s">
        <v>439</v>
      </c>
      <c r="Q95" t="s">
        <v>1213</v>
      </c>
      <c r="R95" t="s">
        <v>1214</v>
      </c>
    </row>
    <row r="96" spans="1:21" x14ac:dyDescent="0.2">
      <c r="F96" t="s">
        <v>343</v>
      </c>
      <c r="G96" t="s">
        <v>831</v>
      </c>
      <c r="P96" t="s">
        <v>444</v>
      </c>
      <c r="Q96" t="s">
        <v>1215</v>
      </c>
      <c r="R96" t="s">
        <v>1216</v>
      </c>
    </row>
    <row r="97" spans="6:18" x14ac:dyDescent="0.2">
      <c r="F97" t="s">
        <v>345</v>
      </c>
      <c r="G97" t="s">
        <v>831</v>
      </c>
      <c r="P97" t="s">
        <v>446</v>
      </c>
      <c r="Q97" t="s">
        <v>1217</v>
      </c>
      <c r="R97" t="s">
        <v>1217</v>
      </c>
    </row>
    <row r="98" spans="6:18" x14ac:dyDescent="0.2">
      <c r="F98" t="s">
        <v>347</v>
      </c>
      <c r="G98" t="s">
        <v>831</v>
      </c>
      <c r="P98" t="s">
        <v>577</v>
      </c>
      <c r="Q98" t="s">
        <v>1218</v>
      </c>
      <c r="R98" t="s">
        <v>1219</v>
      </c>
    </row>
    <row r="99" spans="6:18" x14ac:dyDescent="0.2">
      <c r="F99" t="s">
        <v>349</v>
      </c>
      <c r="G99" t="s">
        <v>831</v>
      </c>
      <c r="P99" t="s">
        <v>578</v>
      </c>
      <c r="Q99" t="s">
        <v>1220</v>
      </c>
      <c r="R99" t="s">
        <v>1221</v>
      </c>
    </row>
    <row r="100" spans="6:18" x14ac:dyDescent="0.2">
      <c r="F100" t="s">
        <v>351</v>
      </c>
      <c r="G100" t="s">
        <v>831</v>
      </c>
    </row>
    <row r="101" spans="6:18" x14ac:dyDescent="0.2">
      <c r="F101" t="s">
        <v>353</v>
      </c>
      <c r="G101" t="s">
        <v>698</v>
      </c>
    </row>
    <row r="102" spans="6:18" x14ac:dyDescent="0.2">
      <c r="F102" t="s">
        <v>355</v>
      </c>
      <c r="G102" t="s">
        <v>832</v>
      </c>
    </row>
    <row r="103" spans="6:18" x14ac:dyDescent="0.2">
      <c r="F103" t="s">
        <v>357</v>
      </c>
      <c r="G103" t="s">
        <v>677</v>
      </c>
    </row>
    <row r="104" spans="6:18" x14ac:dyDescent="0.2">
      <c r="F104" t="s">
        <v>360</v>
      </c>
      <c r="G104" t="s">
        <v>699</v>
      </c>
    </row>
    <row r="105" spans="6:18" x14ac:dyDescent="0.2">
      <c r="F105" t="s">
        <v>411</v>
      </c>
      <c r="G105" t="s">
        <v>833</v>
      </c>
    </row>
    <row r="106" spans="6:18" x14ac:dyDescent="0.2">
      <c r="F106" t="s">
        <v>364</v>
      </c>
      <c r="G106" t="s">
        <v>833</v>
      </c>
    </row>
    <row r="107" spans="6:18" x14ac:dyDescent="0.2">
      <c r="F107" t="s">
        <v>366</v>
      </c>
      <c r="G107" t="s">
        <v>833</v>
      </c>
    </row>
    <row r="108" spans="6:18" x14ac:dyDescent="0.2">
      <c r="F108" t="s">
        <v>368</v>
      </c>
      <c r="G108" t="s">
        <v>833</v>
      </c>
    </row>
    <row r="109" spans="6:18" x14ac:dyDescent="0.2">
      <c r="F109" t="s">
        <v>370</v>
      </c>
      <c r="G109" t="s">
        <v>677</v>
      </c>
    </row>
    <row r="110" spans="6:18" x14ac:dyDescent="0.2">
      <c r="F110" t="s">
        <v>402</v>
      </c>
      <c r="G110" t="s">
        <v>834</v>
      </c>
    </row>
    <row r="111" spans="6:18" x14ac:dyDescent="0.2">
      <c r="F111" t="s">
        <v>403</v>
      </c>
      <c r="G111" t="s">
        <v>835</v>
      </c>
    </row>
    <row r="112" spans="6:18" x14ac:dyDescent="0.2">
      <c r="F112" t="s">
        <v>404</v>
      </c>
      <c r="G112" t="s">
        <v>677</v>
      </c>
    </row>
    <row r="113" spans="6:7" x14ac:dyDescent="0.2">
      <c r="F113" t="s">
        <v>405</v>
      </c>
      <c r="G113" t="s">
        <v>836</v>
      </c>
    </row>
    <row r="114" spans="6:7" x14ac:dyDescent="0.2">
      <c r="F114" t="s">
        <v>376</v>
      </c>
      <c r="G114" t="s">
        <v>837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Books</vt:lpstr>
      <vt:lpstr>Works</vt:lpstr>
      <vt:lpstr>Sources</vt:lpstr>
      <vt:lpstr>Scratch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Snyder</dc:creator>
  <cp:lastModifiedBy>Ken Snyder</cp:lastModifiedBy>
  <dcterms:created xsi:type="dcterms:W3CDTF">2025-10-17T23:40:31Z</dcterms:created>
  <dcterms:modified xsi:type="dcterms:W3CDTF">2025-11-10T16:49:34Z</dcterms:modified>
</cp:coreProperties>
</file>